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laire/Desktop/"/>
    </mc:Choice>
  </mc:AlternateContent>
  <xr:revisionPtr revIDLastSave="0" documentId="13_ncr:1_{ABA73866-F16B-FB42-9C7C-9D897A250B26}" xr6:coauthVersionLast="47" xr6:coauthVersionMax="47" xr10:uidLastSave="{00000000-0000-0000-0000-000000000000}"/>
  <bookViews>
    <workbookView xWindow="340" yWindow="740" windowWidth="29400" windowHeight="17080" tabRatio="500" activeTab="6" xr2:uid="{00000000-000D-0000-FFFF-FFFF00000000}"/>
  </bookViews>
  <sheets>
    <sheet name="Cover" sheetId="1" r:id="rId1"/>
    <sheet name="Equipment Inventory" sheetId="2" r:id="rId2"/>
    <sheet name="Natural Gas" sheetId="3" r:id="rId3"/>
    <sheet name="Biogas" sheetId="4" r:id="rId4"/>
    <sheet name="Biomass Boiler" sheetId="5" r:id="rId5"/>
    <sheet name="Propane &amp; Diesel" sheetId="6" r:id="rId6"/>
    <sheet name="Emissions Summar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6" l="1"/>
  <c r="G15" i="4"/>
  <c r="G4" i="4"/>
  <c r="G5" i="4"/>
  <c r="G6" i="4"/>
  <c r="G7" i="4"/>
  <c r="G8" i="4"/>
  <c r="G9" i="4"/>
  <c r="G10" i="4"/>
  <c r="G11" i="4"/>
  <c r="G12" i="4"/>
  <c r="G13" i="4"/>
  <c r="G14" i="4"/>
  <c r="G3" i="4"/>
  <c r="F7" i="7"/>
  <c r="E7" i="7"/>
  <c r="D7" i="7"/>
  <c r="E9" i="6"/>
  <c r="C5" i="6"/>
  <c r="F14" i="5"/>
  <c r="F13" i="5"/>
  <c r="F12" i="5"/>
  <c r="F11" i="5"/>
  <c r="F10" i="5"/>
  <c r="F9" i="5"/>
  <c r="F8" i="5"/>
  <c r="F7" i="5"/>
  <c r="F6" i="5"/>
  <c r="F5" i="5"/>
  <c r="F4" i="5"/>
  <c r="F3" i="5"/>
  <c r="D15" i="4"/>
  <c r="D14" i="4"/>
  <c r="D13" i="4"/>
  <c r="D12" i="4"/>
  <c r="D11" i="4"/>
  <c r="D10" i="4"/>
  <c r="D9" i="4"/>
  <c r="D8" i="4"/>
  <c r="D7" i="4"/>
  <c r="D6" i="4"/>
  <c r="D5" i="4"/>
  <c r="D4" i="4"/>
  <c r="D3" i="4"/>
  <c r="M15" i="3"/>
  <c r="D15" i="3"/>
  <c r="K14" i="3"/>
  <c r="J14" i="3"/>
  <c r="I14" i="3"/>
  <c r="D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E8" i="2"/>
  <c r="F5" i="7" l="1"/>
  <c r="C5" i="7"/>
  <c r="E5" i="7"/>
  <c r="C3" i="7"/>
  <c r="E12" i="6"/>
  <c r="E7" i="2" s="1"/>
  <c r="G9" i="6"/>
  <c r="E5" i="6"/>
  <c r="G4" i="6"/>
  <c r="F15" i="5"/>
  <c r="H14" i="5"/>
  <c r="H13" i="5"/>
  <c r="H12" i="5"/>
  <c r="H11" i="5"/>
  <c r="H10" i="5"/>
  <c r="H9" i="5"/>
  <c r="H8" i="5"/>
  <c r="H7" i="5"/>
  <c r="H6" i="5"/>
  <c r="H5" i="5"/>
  <c r="H4" i="5"/>
  <c r="H3" i="5"/>
  <c r="H15" i="5" s="1"/>
  <c r="D4" i="7" s="1"/>
  <c r="K15" i="3"/>
  <c r="F3" i="7" s="1"/>
  <c r="J15" i="3"/>
  <c r="E3" i="7" s="1"/>
  <c r="I15" i="3"/>
  <c r="L14" i="3"/>
  <c r="L13" i="3"/>
  <c r="L12" i="3"/>
  <c r="L11" i="3"/>
  <c r="L10" i="3"/>
  <c r="E6" i="2"/>
  <c r="L9" i="3"/>
  <c r="L8" i="3"/>
  <c r="L7" i="3"/>
  <c r="L6" i="3"/>
  <c r="L4" i="3"/>
  <c r="L3" i="3"/>
  <c r="L15" i="3" s="1"/>
  <c r="L5" i="3"/>
  <c r="G5" i="6" l="1"/>
  <c r="D5" i="7"/>
  <c r="G5" i="7" s="1"/>
  <c r="C4" i="7"/>
  <c r="C8" i="7" s="1"/>
  <c r="E4" i="7"/>
  <c r="E5" i="2"/>
  <c r="F4" i="7"/>
  <c r="F8" i="7" s="1"/>
  <c r="D3" i="7"/>
  <c r="G4" i="7" l="1"/>
  <c r="E8" i="7"/>
  <c r="D8" i="7"/>
  <c r="G3" i="7"/>
  <c r="G8" i="7" s="1"/>
</calcChain>
</file>

<file path=xl/sharedStrings.xml><?xml version="1.0" encoding="utf-8"?>
<sst xmlns="http://schemas.openxmlformats.org/spreadsheetml/2006/main" count="294" uniqueCount="186">
  <si>
    <t>SCOPE 1 GHG EMISSIONS CALCULATION WORKBOOK</t>
  </si>
  <si>
    <t>Anheuser-Busch Baldwinsville Brewery  |  Reporting Year 2023</t>
  </si>
  <si>
    <t>Facility Name</t>
  </si>
  <si>
    <t>Anheuser-Busch Baldwinsville Brewery</t>
  </si>
  <si>
    <t>Facility Address</t>
  </si>
  <si>
    <t>4797 River Road, Baldwinsville, NY 13027</t>
  </si>
  <si>
    <t>Operator</t>
  </si>
  <si>
    <t>Anheuser-Busch LLC</t>
  </si>
  <si>
    <t>Reporting Year</t>
  </si>
  <si>
    <t>2023 (January 1 – December 31)</t>
  </si>
  <si>
    <t>Regulatory Basis</t>
  </si>
  <si>
    <t>NY Part 253 – Mandatory GHG Reporting Program</t>
  </si>
  <si>
    <t>Calculation Standard</t>
  </si>
  <si>
    <t>40 CFR Part 98 Subpart C (incorporated by NY Part 253 §2.7)</t>
  </si>
  <si>
    <t>Scope</t>
  </si>
  <si>
    <t>Scope 1 – Stationary Combustion</t>
  </si>
  <si>
    <t>Facility Account No.</t>
  </si>
  <si>
    <t>ACC-2023-BWV-001</t>
  </si>
  <si>
    <t>Service Address</t>
  </si>
  <si>
    <t>Prepared By</t>
  </si>
  <si>
    <t>[Preparer Name]</t>
  </si>
  <si>
    <t>Preparation Date</t>
  </si>
  <si>
    <t>[Date]</t>
  </si>
  <si>
    <t>Version</t>
  </si>
  <si>
    <t>v1.0 – DEMO</t>
  </si>
  <si>
    <t>WORKBOOK CONTENTS</t>
  </si>
  <si>
    <t>Cover</t>
  </si>
  <si>
    <t>Facility identity and workbook index</t>
  </si>
  <si>
    <t>Equipment Inventory</t>
  </si>
  <si>
    <t>All combustion units, capacities, fuel types, assigned calc methods</t>
  </si>
  <si>
    <t>Natural Gas</t>
  </si>
  <si>
    <t>Monthly usage Jan–Dec 2023: heat input, CO2/CH4/N2O, CO2e</t>
  </si>
  <si>
    <t>Biogas</t>
  </si>
  <si>
    <t>Onsite wastewater biogas meter logs and calculation inputs</t>
  </si>
  <si>
    <t>Biomass Boiler</t>
  </si>
  <si>
    <t>Propane &amp; Diesel</t>
  </si>
  <si>
    <t>DRY-001 propane dryer and GEN-001 diesel generator annual records</t>
  </si>
  <si>
    <t>Emissions Summary</t>
  </si>
  <si>
    <t>CO2e roll-up by source, GWP conversion, upstream §2.18 section</t>
  </si>
  <si>
    <t>EQUIPMENT INVENTORY — Combustion Units in Scope | Reporting Year 2023</t>
  </si>
  <si>
    <t>Unit ID</t>
  </si>
  <si>
    <t>Unit Description</t>
  </si>
  <si>
    <t>Fuel Type</t>
  </si>
  <si>
    <t>Max Rated Heat
Input (MMBtu/hr)</t>
  </si>
  <si>
    <t>Calc Method
(CO2)</t>
  </si>
  <si>
    <t>NY Part 253
Source Category</t>
  </si>
  <si>
    <t>Notes / Gap Flag</t>
  </si>
  <si>
    <t>BLR-001</t>
  </si>
  <si>
    <t>Natural Gas Steam Boiler #1</t>
  </si>
  <si>
    <t>Natural Gas (pipeline)</t>
  </si>
  <si>
    <t>Tier 1 (billing MMBtu)</t>
  </si>
  <si>
    <t>253-2.7</t>
  </si>
  <si>
    <t>BLR-002</t>
  </si>
  <si>
    <t>Natural Gas Steam Boiler #2</t>
  </si>
  <si>
    <t>BLR-003</t>
  </si>
  <si>
    <t>Steam Boiler #3 — Multi-Fuel</t>
  </si>
  <si>
    <t>Natural Gas / Solid Biomass Residue</t>
  </si>
  <si>
    <t>Tier 1 (NG) / Tier 3 req. (biomass)</t>
  </si>
  <si>
    <t>DRY-001</t>
  </si>
  <si>
    <t>Propane Malt/Grain Dryer</t>
  </si>
  <si>
    <t>Propane (LPG)</t>
  </si>
  <si>
    <t>Tier 1</t>
  </si>
  <si>
    <t>GEN-001</t>
  </si>
  <si>
    <t>Diesel Emergency Generator #1</t>
  </si>
  <si>
    <t>Diesel (No. 2 Distillate)</t>
  </si>
  <si>
    <t>BIO-001</t>
  </si>
  <si>
    <t>Onsite Wastewater Biogas Combustor</t>
  </si>
  <si>
    <t>Biogas (non-pipeline)</t>
  </si>
  <si>
    <t>Tier 3 (required)</t>
  </si>
  <si>
    <t>RFO-001</t>
  </si>
  <si>
    <t>Residual Fuel Oil Boiler (Backup)</t>
  </si>
  <si>
    <t>Residual Fuel Oil No. 6</t>
  </si>
  <si>
    <t>Tier 2</t>
  </si>
  <si>
    <t>NATURAL GAS (BLR-001 + BLR-002) — Monthly Combustion | Account: ACC-2023-BWV-001 | 2023</t>
  </si>
  <si>
    <t>Month</t>
  </si>
  <si>
    <t>Bill Period
Start</t>
  </si>
  <si>
    <t>Bill Period
End</t>
  </si>
  <si>
    <t>Usage
(MMBtu)</t>
  </si>
  <si>
    <t>HHV
(MMBtu/scf)</t>
  </si>
  <si>
    <t>CO2 EF
(kg/MMBtu)</t>
  </si>
  <si>
    <t>CH4 EF
(kg/MMBtu)</t>
  </si>
  <si>
    <t>N2O EF
(kg/MMBtu)</t>
  </si>
  <si>
    <t>CO2
(metric tons)</t>
  </si>
  <si>
    <t>CH4
(metric tons)</t>
  </si>
  <si>
    <t>N2O
(metric tons)</t>
  </si>
  <si>
    <t>CO2e (metric tons)
⚠ GWP-100 APPLIED
(NY req. GWP-20)</t>
  </si>
  <si>
    <t>Biogenic CO2
(metric tons)</t>
  </si>
  <si>
    <t>January</t>
  </si>
  <si>
    <t>2023-01-01</t>
  </si>
  <si>
    <t>2023-01-31</t>
  </si>
  <si>
    <t>February</t>
  </si>
  <si>
    <t>2023-02-01</t>
  </si>
  <si>
    <t>2023-02-28</t>
  </si>
  <si>
    <t>March</t>
  </si>
  <si>
    <t>2023-03-01</t>
  </si>
  <si>
    <t>2023-03-31</t>
  </si>
  <si>
    <t>April</t>
  </si>
  <si>
    <t>2023-04-01</t>
  </si>
  <si>
    <t>2023-04-30</t>
  </si>
  <si>
    <t>May</t>
  </si>
  <si>
    <t>2023-05-01</t>
  </si>
  <si>
    <t>2023-05-31</t>
  </si>
  <si>
    <t>June</t>
  </si>
  <si>
    <t>2023-06-01</t>
  </si>
  <si>
    <t>2023-06-30</t>
  </si>
  <si>
    <t>July</t>
  </si>
  <si>
    <t>2023-07-01</t>
  </si>
  <si>
    <t>2023-07-31</t>
  </si>
  <si>
    <t>August</t>
  </si>
  <si>
    <t>2023-08-01</t>
  </si>
  <si>
    <t>2023-08-31</t>
  </si>
  <si>
    <t>September</t>
  </si>
  <si>
    <t>2023-09-01</t>
  </si>
  <si>
    <t>2023-09-30</t>
  </si>
  <si>
    <t>October</t>
  </si>
  <si>
    <t>2023-10-01</t>
  </si>
  <si>
    <t>2023-10-31</t>
  </si>
  <si>
    <t>November</t>
  </si>
  <si>
    <t>2023-11-01</t>
  </si>
  <si>
    <t>2023-11-30</t>
  </si>
  <si>
    <t>December</t>
  </si>
  <si>
    <t>2023-12-01</t>
  </si>
  <si>
    <t>2023-12-31</t>
  </si>
  <si>
    <t>ANNUAL TOTALS</t>
  </si>
  <si>
    <t>BIOGAS — Unit BIO-001 (Onsite Wastewater) | Meter Logs &amp; Calculation Inputs | 2023</t>
  </si>
  <si>
    <t>Meter Read
Start (scf)</t>
  </si>
  <si>
    <t>Meter Read
End (scf)</t>
  </si>
  <si>
    <t>Volume
Consumed (scf)</t>
  </si>
  <si>
    <t>Carbon Content
(kg C/MMBtu)</t>
  </si>
  <si>
    <t>ANNUAL TOTAL VOLUME (scf)</t>
  </si>
  <si>
    <t>STEAM BOILER BLR-003 — Monthly Fuel Records | Reporting Year 2023</t>
  </si>
  <si>
    <t>Fuel Type (Actual)</t>
  </si>
  <si>
    <t>Quantity</t>
  </si>
  <si>
    <t>Unit</t>
  </si>
  <si>
    <t>HHV
(MMBtu/unit)</t>
  </si>
  <si>
    <t>Heat Input
(MMBtu)</t>
  </si>
  <si>
    <t>CO2 EF Applied
(kg CO2/MMBtu)</t>
  </si>
  <si>
    <t>Correct Method
Required</t>
  </si>
  <si>
    <t>Mcf</t>
  </si>
  <si>
    <t>Tier 1 — correct for pipeline NG</t>
  </si>
  <si>
    <t>Solid Biomass Residue</t>
  </si>
  <si>
    <t>short tons</t>
  </si>
  <si>
    <t>Tier 3/4 required
(site-specific carbon content)</t>
  </si>
  <si>
    <t>PROPANE &amp; DIESEL — Annual Fuel Records | Reporting Year 2023</t>
  </si>
  <si>
    <t>PROPANE — Unit DRY-001 (Malt/Grain Dryer)</t>
  </si>
  <si>
    <t>Source / Unit</t>
  </si>
  <si>
    <t>Annual Quantity</t>
  </si>
  <si>
    <t>Calc Method</t>
  </si>
  <si>
    <t>DRY-001 Propane Dryer</t>
  </si>
  <si>
    <t>gallons</t>
  </si>
  <si>
    <t>Propane Subtotal</t>
  </si>
  <si>
    <t>DIESEL — Unit GEN-001 (Emergency Generator)</t>
  </si>
  <si>
    <t>GEN-001 Emergency Generator</t>
  </si>
  <si>
    <t>Clean — annual emergency use only. Unit capacity 2.5 MMBtu/hr. Method and capacity compliant.</t>
  </si>
  <si>
    <t>Diesel Heat Input (for Equipment Inventory ref)</t>
  </si>
  <si>
    <t>EMISSIONS SUMMARY — Scope 1 Stationary Combustion | AB Baldwinsville | 2023</t>
  </si>
  <si>
    <t>Source / Unit Group</t>
  </si>
  <si>
    <t>CO2e (metric tons)
⚠ GWP-100 BASIS
(NY req. GWP-20)</t>
  </si>
  <si>
    <t>Natural Gas / Diesel</t>
  </si>
  <si>
    <t>Steam Boiler BLR-003 (Multi-Fuel)</t>
  </si>
  <si>
    <t>Natural Gas / Solid Biomass</t>
  </si>
  <si>
    <t>Propane Dryer DRY-001</t>
  </si>
  <si>
    <t>Biogas Combustor BIO-001</t>
  </si>
  <si>
    <t>Residual Fuel Oil Boiler RFO-001</t>
  </si>
  <si>
    <t>TOTAL REPORTED SCOPE 1 (fossil CO2e)</t>
  </si>
  <si>
    <t>EPA GHGRP 2023 Public Benchmark</t>
  </si>
  <si>
    <t>(clean baseline should approximate this)</t>
  </si>
  <si>
    <t>UPSTREAM OUT-OF-STATE EMISSIONS (NY Part 253 §2.18) — Required for all fossil fuel MMBtu consumed</t>
  </si>
  <si>
    <t>Annual MMBtu
Consumed</t>
  </si>
  <si>
    <t>Upstream EF
(kg CO2e/MMBtu)</t>
  </si>
  <si>
    <t>Upstream CO2e
(metric tons)</t>
  </si>
  <si>
    <t>REFERENCE — Table 2-6 Upstream Emission Factors (NY Part 253 §2.18) — for auditor use only</t>
  </si>
  <si>
    <t>40.877 kg CO2e/MMBtu</t>
  </si>
  <si>
    <t>26.474 kg CO2e/MMBtu</t>
  </si>
  <si>
    <t>Diesel/Distillate</t>
  </si>
  <si>
    <t>23.540 kg CO2e/MMBtu</t>
  </si>
  <si>
    <t>Residual Fuel Oil</t>
  </si>
  <si>
    <t>19.411 kg CO2e/MMBtu</t>
  </si>
  <si>
    <t>BLR-003 monthly fuel records – NG + solid biomass months</t>
  </si>
  <si>
    <t>Annual Heat Input (MMBtu)
[Clean-year basisfor BLR-001/002]</t>
  </si>
  <si>
    <t>Methodology Statement</t>
  </si>
  <si>
    <t>GHG emissions calculated in accordance with 40 CFR Part 98 Subpart C, General Stationary Fuel Combustion Sources, U.S. Environmental Protection Agency." No reference to 6 NYCRR Part 253, no reference to the New York State Department of Environmental Conservation, no reference to any NY-specific requirements or overrides.</t>
  </si>
  <si>
    <t>Notes</t>
  </si>
  <si>
    <t>Pilot lights excluded per 40 CFR §98.30(d) — not required to report GHG emissions from pilot lights.</t>
  </si>
  <si>
    <t>Pilot lights excluded per 40 CFR §98.30(d) — not required to report GHG emissions from pilot lights</t>
  </si>
  <si>
    <t xml:space="preserve">Natural Gas Boilers + Diesel Generator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</si>
</sst>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0000"/>
    <numFmt numFmtId="166" formatCode="0.000000"/>
    <numFmt numFmtId="167" formatCode="#,##0.0000"/>
    <numFmt numFmtId="168" formatCode="#,##0.00000"/>
    <numFmt numFmtId="169" formatCode="0.000"/>
  </numFmts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b/>
      <sz val="9"/>
      <color rgb="FF7F3F00"/>
      <name val="Arial"/>
      <family val="2"/>
    </font>
    <font>
      <b/>
      <sz val="10"/>
      <color rgb="FFFFFFFF"/>
      <name val="Arial"/>
      <family val="2"/>
    </font>
    <font>
      <sz val="10"/>
      <color rgb="FFBFBFBF"/>
      <name val="Arial"/>
      <family val="2"/>
    </font>
    <font>
      <sz val="10"/>
      <color rgb="FFFF0000"/>
      <name val="Arial"/>
      <family val="2"/>
    </font>
    <font>
      <b/>
      <sz val="9"/>
      <color theme="0"/>
      <name val="Arial"/>
      <family val="2"/>
    </font>
    <font>
      <sz val="9"/>
      <color rgb="FFC00000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charset val="1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rgb="FFFFE0B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FFE0B2"/>
      </patternFill>
    </fill>
    <fill>
      <patternFill patternType="solid">
        <fgColor theme="0" tint="-0.14999847407452621"/>
        <bgColor rgb="FFFFD7D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D7D7"/>
      </patternFill>
    </fill>
    <fill>
      <patternFill patternType="solid">
        <fgColor theme="0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167" fontId="4" fillId="5" borderId="1" xfId="0" applyNumberFormat="1" applyFont="1" applyFill="1" applyBorder="1" applyAlignment="1">
      <alignment horizontal="center" vertical="center" wrapText="1"/>
    </xf>
    <xf numFmtId="168" fontId="4" fillId="5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68" fontId="4" fillId="6" borderId="1" xfId="0" applyNumberFormat="1" applyFont="1" applyFill="1" applyBorder="1" applyAlignment="1">
      <alignment horizontal="center" vertical="center" wrapText="1"/>
    </xf>
    <xf numFmtId="4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169" fontId="4" fillId="5" borderId="1" xfId="0" applyNumberFormat="1" applyFont="1" applyFill="1" applyBorder="1" applyAlignment="1">
      <alignment horizontal="center" vertical="center" wrapText="1"/>
    </xf>
    <xf numFmtId="169" fontId="4" fillId="6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164" fontId="0" fillId="0" borderId="0" xfId="0" applyNumberFormat="1"/>
    <xf numFmtId="4" fontId="5" fillId="2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/>
    <xf numFmtId="0" fontId="7" fillId="7" borderId="1" xfId="0" applyFont="1" applyFill="1" applyBorder="1"/>
    <xf numFmtId="4" fontId="3" fillId="7" borderId="1" xfId="0" applyNumberFormat="1" applyFont="1" applyFill="1" applyBorder="1"/>
    <xf numFmtId="0" fontId="13" fillId="5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Border="1"/>
    <xf numFmtId="0" fontId="8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left" vertical="center" wrapText="1"/>
    </xf>
    <xf numFmtId="0" fontId="17" fillId="10" borderId="0" xfId="0" applyFont="1" applyFill="1"/>
    <xf numFmtId="0" fontId="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2" fontId="18" fillId="9" borderId="1" xfId="0" applyNumberFormat="1" applyFont="1" applyFill="1" applyBorder="1" applyAlignment="1">
      <alignment horizontal="center" vertical="center" wrapText="1"/>
    </xf>
    <xf numFmtId="4" fontId="18" fillId="9" borderId="1" xfId="0" applyNumberFormat="1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left" vertical="center" wrapText="1"/>
    </xf>
    <xf numFmtId="3" fontId="18" fillId="11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4" fontId="18" fillId="11" borderId="1" xfId="0" applyNumberFormat="1" applyFont="1" applyFill="1" applyBorder="1" applyAlignment="1">
      <alignment horizontal="center" vertical="center" wrapText="1"/>
    </xf>
    <xf numFmtId="167" fontId="18" fillId="11" borderId="1" xfId="0" applyNumberFormat="1" applyFont="1" applyFill="1" applyBorder="1" applyAlignment="1">
      <alignment horizontal="center" vertical="center" wrapText="1"/>
    </xf>
    <xf numFmtId="168" fontId="18" fillId="11" borderId="1" xfId="0" applyNumberFormat="1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left" vertical="center" wrapText="1"/>
    </xf>
    <xf numFmtId="0" fontId="0" fillId="13" borderId="0" xfId="0" applyFill="1"/>
    <xf numFmtId="0" fontId="10" fillId="14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4" fontId="18" fillId="12" borderId="1" xfId="0" applyNumberFormat="1" applyFont="1" applyFill="1" applyBorder="1" applyAlignment="1">
      <alignment horizontal="center" vertical="center" wrapText="1"/>
    </xf>
    <xf numFmtId="164" fontId="19" fillId="11" borderId="1" xfId="0" applyNumberFormat="1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4" fontId="20" fillId="15" borderId="1" xfId="0" applyNumberFormat="1" applyFont="1" applyFill="1" applyBorder="1" applyAlignment="1">
      <alignment horizontal="center" vertical="center" wrapText="1"/>
    </xf>
    <xf numFmtId="0" fontId="0" fillId="10" borderId="0" xfId="0" applyFont="1" applyFill="1"/>
    <xf numFmtId="0" fontId="9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left" vertical="center" wrapText="1"/>
    </xf>
    <xf numFmtId="0" fontId="21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D7D7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1"/>
  <sheetViews>
    <sheetView showGridLines="0" zoomScale="125" zoomScaleNormal="100" workbookViewId="0">
      <selection activeCell="B33" sqref="B33"/>
    </sheetView>
  </sheetViews>
  <sheetFormatPr baseColWidth="10" defaultColWidth="8.6640625" defaultRowHeight="15" x14ac:dyDescent="0.2"/>
  <cols>
    <col min="1" max="1" width="6" customWidth="1"/>
    <col min="2" max="2" width="38" customWidth="1"/>
    <col min="3" max="3" width="61.1640625" customWidth="1"/>
    <col min="4" max="4" width="6" customWidth="1"/>
  </cols>
  <sheetData>
    <row r="2" spans="2:3" ht="49.5" customHeight="1" x14ac:dyDescent="0.2">
      <c r="B2" s="6" t="s">
        <v>0</v>
      </c>
      <c r="C2" s="6"/>
    </row>
    <row r="3" spans="2:3" ht="15" customHeight="1" x14ac:dyDescent="0.2">
      <c r="B3" s="5" t="s">
        <v>1</v>
      </c>
      <c r="C3" s="5"/>
    </row>
    <row r="6" spans="2:3" ht="19.5" customHeight="1" x14ac:dyDescent="0.2">
      <c r="B6" s="7" t="s">
        <v>2</v>
      </c>
      <c r="C6" s="8" t="s">
        <v>3</v>
      </c>
    </row>
    <row r="7" spans="2:3" ht="19.5" customHeight="1" x14ac:dyDescent="0.2">
      <c r="B7" s="7" t="s">
        <v>4</v>
      </c>
      <c r="C7" s="8" t="s">
        <v>5</v>
      </c>
    </row>
    <row r="8" spans="2:3" ht="19.5" customHeight="1" x14ac:dyDescent="0.2">
      <c r="B8" s="7" t="s">
        <v>6</v>
      </c>
      <c r="C8" s="8" t="s">
        <v>7</v>
      </c>
    </row>
    <row r="9" spans="2:3" ht="19.5" customHeight="1" x14ac:dyDescent="0.2">
      <c r="B9" s="7" t="s">
        <v>8</v>
      </c>
      <c r="C9" s="8" t="s">
        <v>9</v>
      </c>
    </row>
    <row r="10" spans="2:3" ht="19.5" customHeight="1" x14ac:dyDescent="0.2">
      <c r="B10" s="7" t="s">
        <v>10</v>
      </c>
      <c r="C10" s="8" t="s">
        <v>11</v>
      </c>
    </row>
    <row r="11" spans="2:3" ht="19" customHeight="1" x14ac:dyDescent="0.2">
      <c r="B11" s="7" t="s">
        <v>12</v>
      </c>
      <c r="C11" s="8" t="s">
        <v>13</v>
      </c>
    </row>
    <row r="12" spans="2:3" ht="19.5" customHeight="1" x14ac:dyDescent="0.2">
      <c r="B12" s="7" t="s">
        <v>14</v>
      </c>
      <c r="C12" s="8" t="s">
        <v>15</v>
      </c>
    </row>
    <row r="13" spans="2:3" ht="19.5" customHeight="1" x14ac:dyDescent="0.2">
      <c r="B13" s="7" t="s">
        <v>16</v>
      </c>
      <c r="C13" s="8" t="s">
        <v>17</v>
      </c>
    </row>
    <row r="14" spans="2:3" ht="19.5" customHeight="1" x14ac:dyDescent="0.2">
      <c r="B14" s="7" t="s">
        <v>18</v>
      </c>
      <c r="C14" s="8" t="s">
        <v>5</v>
      </c>
    </row>
    <row r="15" spans="2:3" ht="19.5" customHeight="1" x14ac:dyDescent="0.2">
      <c r="B15" s="7" t="s">
        <v>19</v>
      </c>
      <c r="C15" s="45" t="s">
        <v>20</v>
      </c>
    </row>
    <row r="16" spans="2:3" ht="19.5" customHeight="1" x14ac:dyDescent="0.2">
      <c r="B16" s="7" t="s">
        <v>21</v>
      </c>
      <c r="C16" s="45" t="s">
        <v>22</v>
      </c>
    </row>
    <row r="17" spans="2:3" ht="19.5" customHeight="1" x14ac:dyDescent="0.2">
      <c r="B17" s="7" t="s">
        <v>23</v>
      </c>
      <c r="C17" s="8" t="s">
        <v>24</v>
      </c>
    </row>
    <row r="20" spans="2:3" ht="15" customHeight="1" x14ac:dyDescent="0.2">
      <c r="B20" s="4" t="s">
        <v>25</v>
      </c>
      <c r="C20" s="4"/>
    </row>
    <row r="21" spans="2:3" ht="18" customHeight="1" x14ac:dyDescent="0.2">
      <c r="B21" s="9" t="s">
        <v>26</v>
      </c>
      <c r="C21" s="8" t="s">
        <v>27</v>
      </c>
    </row>
    <row r="22" spans="2:3" ht="18" customHeight="1" x14ac:dyDescent="0.2">
      <c r="B22" s="9" t="s">
        <v>28</v>
      </c>
      <c r="C22" s="8" t="s">
        <v>29</v>
      </c>
    </row>
    <row r="23" spans="2:3" ht="18" customHeight="1" x14ac:dyDescent="0.2">
      <c r="B23" s="9" t="s">
        <v>30</v>
      </c>
      <c r="C23" s="8" t="s">
        <v>31</v>
      </c>
    </row>
    <row r="24" spans="2:3" ht="18" customHeight="1" x14ac:dyDescent="0.2">
      <c r="B24" s="9" t="s">
        <v>32</v>
      </c>
      <c r="C24" s="8" t="s">
        <v>33</v>
      </c>
    </row>
    <row r="25" spans="2:3" ht="18" customHeight="1" x14ac:dyDescent="0.2">
      <c r="B25" s="9" t="s">
        <v>34</v>
      </c>
      <c r="C25" s="8" t="s">
        <v>178</v>
      </c>
    </row>
    <row r="26" spans="2:3" ht="18" customHeight="1" x14ac:dyDescent="0.2">
      <c r="B26" s="9" t="s">
        <v>35</v>
      </c>
      <c r="C26" s="8" t="s">
        <v>36</v>
      </c>
    </row>
    <row r="27" spans="2:3" ht="18" customHeight="1" x14ac:dyDescent="0.2">
      <c r="B27" s="9" t="s">
        <v>37</v>
      </c>
      <c r="C27" s="8" t="s">
        <v>38</v>
      </c>
    </row>
    <row r="30" spans="2:3" x14ac:dyDescent="0.2">
      <c r="B30" s="4" t="s">
        <v>180</v>
      </c>
      <c r="C30" s="4"/>
    </row>
    <row r="31" spans="2:3" ht="50" customHeight="1" x14ac:dyDescent="0.2">
      <c r="B31" s="46" t="s">
        <v>181</v>
      </c>
      <c r="C31" s="47"/>
    </row>
  </sheetData>
  <mergeCells count="5">
    <mergeCell ref="B2:C2"/>
    <mergeCell ref="B3:C3"/>
    <mergeCell ref="B20:C20"/>
    <mergeCell ref="B30:C30"/>
    <mergeCell ref="B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showGridLines="0" zoomScale="116" zoomScaleNormal="100" workbookViewId="0">
      <selection activeCell="D17" sqref="D17"/>
    </sheetView>
  </sheetViews>
  <sheetFormatPr baseColWidth="10" defaultColWidth="8.6640625" defaultRowHeight="15" x14ac:dyDescent="0.2"/>
  <cols>
    <col min="1" max="1" width="14" customWidth="1"/>
    <col min="2" max="2" width="28" customWidth="1"/>
    <col min="3" max="3" width="20" customWidth="1"/>
    <col min="4" max="4" width="16" customWidth="1"/>
    <col min="5" max="5" width="22.83203125" customWidth="1"/>
    <col min="6" max="6" width="20" customWidth="1"/>
    <col min="7" max="7" width="22" customWidth="1"/>
    <col min="8" max="8" width="51" customWidth="1"/>
    <col min="9" max="9" width="61" customWidth="1"/>
  </cols>
  <sheetData>
    <row r="1" spans="1:9" ht="27.75" customHeight="1" x14ac:dyDescent="0.2">
      <c r="A1" s="3" t="s">
        <v>39</v>
      </c>
      <c r="B1" s="3"/>
      <c r="C1" s="3"/>
      <c r="D1" s="3"/>
      <c r="E1" s="3"/>
      <c r="F1" s="3"/>
      <c r="G1" s="3"/>
      <c r="H1" s="3"/>
      <c r="I1" s="3"/>
    </row>
    <row r="2" spans="1:9" ht="39.75" customHeight="1" x14ac:dyDescent="0.2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179</v>
      </c>
      <c r="F2" s="10" t="s">
        <v>44</v>
      </c>
      <c r="G2" s="10" t="s">
        <v>45</v>
      </c>
      <c r="H2" s="48" t="s">
        <v>182</v>
      </c>
      <c r="I2" s="10" t="s">
        <v>46</v>
      </c>
    </row>
    <row r="3" spans="1:9" ht="34" customHeight="1" x14ac:dyDescent="0.2">
      <c r="A3" s="8" t="s">
        <v>47</v>
      </c>
      <c r="B3" s="11" t="s">
        <v>48</v>
      </c>
      <c r="C3" s="11" t="s">
        <v>49</v>
      </c>
      <c r="D3" s="12">
        <v>25</v>
      </c>
      <c r="E3" s="13">
        <v>182000</v>
      </c>
      <c r="F3" s="11" t="s">
        <v>50</v>
      </c>
      <c r="G3" s="11" t="s">
        <v>51</v>
      </c>
      <c r="H3" s="49" t="s">
        <v>183</v>
      </c>
      <c r="I3" s="14"/>
    </row>
    <row r="4" spans="1:9" ht="24" customHeight="1" x14ac:dyDescent="0.2">
      <c r="A4" s="15" t="s">
        <v>52</v>
      </c>
      <c r="B4" s="16" t="s">
        <v>53</v>
      </c>
      <c r="C4" s="16" t="s">
        <v>49</v>
      </c>
      <c r="D4" s="17">
        <v>20</v>
      </c>
      <c r="E4" s="18">
        <v>121300</v>
      </c>
      <c r="F4" s="16" t="s">
        <v>50</v>
      </c>
      <c r="G4" s="16" t="s">
        <v>51</v>
      </c>
      <c r="H4" s="49" t="s">
        <v>183</v>
      </c>
      <c r="I4" s="19"/>
    </row>
    <row r="5" spans="1:9" ht="24" customHeight="1" x14ac:dyDescent="0.2">
      <c r="A5" s="8" t="s">
        <v>54</v>
      </c>
      <c r="B5" s="11" t="s">
        <v>55</v>
      </c>
      <c r="C5" s="11" t="s">
        <v>56</v>
      </c>
      <c r="D5" s="17">
        <v>18</v>
      </c>
      <c r="E5" s="12">
        <f>'Biomass Boiler'!F15</f>
        <v>109048.6</v>
      </c>
      <c r="F5" s="11" t="s">
        <v>57</v>
      </c>
      <c r="G5" s="11" t="s">
        <v>51</v>
      </c>
      <c r="H5" s="49" t="s">
        <v>184</v>
      </c>
      <c r="I5" s="62"/>
    </row>
    <row r="6" spans="1:9" ht="24" customHeight="1" x14ac:dyDescent="0.2">
      <c r="A6" s="15" t="s">
        <v>58</v>
      </c>
      <c r="B6" s="16" t="s">
        <v>59</v>
      </c>
      <c r="C6" s="16" t="s">
        <v>60</v>
      </c>
      <c r="D6" s="78">
        <v>300</v>
      </c>
      <c r="E6" s="17">
        <f>'Propane &amp; Diesel'!E4</f>
        <v>9807.2000000000007</v>
      </c>
      <c r="F6" s="16" t="s">
        <v>61</v>
      </c>
      <c r="G6" s="16" t="s">
        <v>51</v>
      </c>
      <c r="H6" s="49" t="s">
        <v>183</v>
      </c>
      <c r="I6" s="76"/>
    </row>
    <row r="7" spans="1:9" ht="24" customHeight="1" x14ac:dyDescent="0.2">
      <c r="A7" s="8" t="s">
        <v>62</v>
      </c>
      <c r="B7" s="11" t="s">
        <v>63</v>
      </c>
      <c r="C7" s="11" t="s">
        <v>64</v>
      </c>
      <c r="D7" s="12">
        <v>2.5</v>
      </c>
      <c r="E7" s="12">
        <f>'Propane &amp; Diesel'!E12</f>
        <v>388.35999999999996</v>
      </c>
      <c r="F7" s="11" t="s">
        <v>61</v>
      </c>
      <c r="G7" s="11" t="s">
        <v>51</v>
      </c>
      <c r="I7" s="11"/>
    </row>
    <row r="8" spans="1:9" ht="24" customHeight="1" x14ac:dyDescent="0.2">
      <c r="A8" s="15" t="s">
        <v>65</v>
      </c>
      <c r="B8" s="16" t="s">
        <v>66</v>
      </c>
      <c r="C8" s="16" t="s">
        <v>67</v>
      </c>
      <c r="D8" s="17">
        <v>15</v>
      </c>
      <c r="E8" s="17">
        <f>Biogas!G14</f>
        <v>4.431826666666667E-3</v>
      </c>
      <c r="F8" s="16" t="s">
        <v>68</v>
      </c>
      <c r="G8" s="16" t="s">
        <v>51</v>
      </c>
      <c r="I8" s="76"/>
    </row>
    <row r="9" spans="1:9" ht="24" customHeight="1" x14ac:dyDescent="0.2">
      <c r="A9" s="8" t="s">
        <v>69</v>
      </c>
      <c r="B9" s="11" t="s">
        <v>70</v>
      </c>
      <c r="C9" s="11" t="s">
        <v>71</v>
      </c>
      <c r="D9" s="12">
        <v>60</v>
      </c>
      <c r="E9" s="12">
        <v>3423</v>
      </c>
      <c r="F9" s="11" t="s">
        <v>72</v>
      </c>
      <c r="G9" s="11" t="s">
        <v>51</v>
      </c>
      <c r="I9" s="11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showGridLines="0" zoomScaleNormal="100" workbookViewId="0">
      <selection activeCell="F26" sqref="F26"/>
    </sheetView>
  </sheetViews>
  <sheetFormatPr baseColWidth="10" defaultColWidth="8.6640625" defaultRowHeight="15" x14ac:dyDescent="0.2"/>
  <cols>
    <col min="1" max="4" width="13" customWidth="1"/>
    <col min="5" max="5" width="12" customWidth="1"/>
    <col min="6" max="11" width="14" customWidth="1"/>
    <col min="12" max="12" width="18" customWidth="1"/>
    <col min="13" max="13" width="16" customWidth="1"/>
    <col min="14" max="14" width="44.5" customWidth="1"/>
  </cols>
  <sheetData>
    <row r="1" spans="1:14" ht="27.75" customHeight="1" x14ac:dyDescent="0.2">
      <c r="A1" s="3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51.75" customHeight="1" x14ac:dyDescent="0.2">
      <c r="A2" s="10" t="s">
        <v>74</v>
      </c>
      <c r="B2" s="10" t="s">
        <v>75</v>
      </c>
      <c r="C2" s="10" t="s">
        <v>76</v>
      </c>
      <c r="D2" s="10" t="s">
        <v>77</v>
      </c>
      <c r="E2" s="10" t="s">
        <v>78</v>
      </c>
      <c r="F2" s="10" t="s">
        <v>79</v>
      </c>
      <c r="G2" s="10" t="s">
        <v>80</v>
      </c>
      <c r="H2" s="10" t="s">
        <v>81</v>
      </c>
      <c r="I2" s="10" t="s">
        <v>82</v>
      </c>
      <c r="J2" s="10" t="s">
        <v>83</v>
      </c>
      <c r="K2" s="10" t="s">
        <v>84</v>
      </c>
      <c r="L2" s="10" t="s">
        <v>85</v>
      </c>
      <c r="M2" s="10" t="s">
        <v>86</v>
      </c>
      <c r="N2" s="10" t="s">
        <v>46</v>
      </c>
    </row>
    <row r="3" spans="1:14" ht="19.5" customHeight="1" x14ac:dyDescent="0.2">
      <c r="A3" s="8" t="s">
        <v>87</v>
      </c>
      <c r="B3" s="11" t="s">
        <v>88</v>
      </c>
      <c r="C3" s="11" t="s">
        <v>89</v>
      </c>
      <c r="D3" s="18">
        <v>32400</v>
      </c>
      <c r="E3" s="20">
        <v>1.026E-2</v>
      </c>
      <c r="F3" s="21">
        <v>53.06</v>
      </c>
      <c r="G3" s="20">
        <v>1E-3</v>
      </c>
      <c r="H3" s="22">
        <v>1E-4</v>
      </c>
      <c r="I3" s="23">
        <f t="shared" ref="I3:I14" si="0">D3*F3/1000</f>
        <v>1719.144</v>
      </c>
      <c r="J3" s="24">
        <f t="shared" ref="J3:J14" si="1">D3*G3/1000</f>
        <v>3.2399999999999998E-2</v>
      </c>
      <c r="K3" s="25">
        <f t="shared" ref="K3:K14" si="2">D3*H3/1000</f>
        <v>3.2400000000000003E-3</v>
      </c>
      <c r="L3" s="23">
        <f t="shared" ref="L3:L14" si="3">I3+J3*28+K3*265</f>
        <v>1720.9098000000001</v>
      </c>
      <c r="M3" s="23">
        <v>0</v>
      </c>
      <c r="N3" s="11"/>
    </row>
    <row r="4" spans="1:14" ht="19.5" customHeight="1" x14ac:dyDescent="0.2">
      <c r="A4" s="15" t="s">
        <v>90</v>
      </c>
      <c r="B4" s="16" t="s">
        <v>91</v>
      </c>
      <c r="C4" s="16" t="s">
        <v>92</v>
      </c>
      <c r="D4" s="13">
        <v>31000</v>
      </c>
      <c r="E4" s="26">
        <v>1.026E-2</v>
      </c>
      <c r="F4" s="27">
        <v>53.06</v>
      </c>
      <c r="G4" s="26">
        <v>1E-3</v>
      </c>
      <c r="H4" s="28">
        <v>1E-4</v>
      </c>
      <c r="I4" s="29">
        <f t="shared" si="0"/>
        <v>1644.86</v>
      </c>
      <c r="J4" s="30">
        <f t="shared" si="1"/>
        <v>3.1E-2</v>
      </c>
      <c r="K4" s="31">
        <f t="shared" si="2"/>
        <v>3.0999999999999999E-3</v>
      </c>
      <c r="L4" s="29">
        <f t="shared" si="3"/>
        <v>1646.5494999999999</v>
      </c>
      <c r="M4" s="29">
        <v>0</v>
      </c>
      <c r="N4" s="16"/>
    </row>
    <row r="5" spans="1:14" ht="19.5" customHeight="1" x14ac:dyDescent="0.2">
      <c r="A5" s="8" t="s">
        <v>93</v>
      </c>
      <c r="B5" s="11" t="s">
        <v>94</v>
      </c>
      <c r="C5" s="11" t="s">
        <v>95</v>
      </c>
      <c r="D5" s="18">
        <v>29500</v>
      </c>
      <c r="E5" s="20">
        <v>1.026E-2</v>
      </c>
      <c r="F5" s="21">
        <v>53.06</v>
      </c>
      <c r="G5" s="20">
        <v>1E-3</v>
      </c>
      <c r="H5" s="22">
        <v>1E-4</v>
      </c>
      <c r="I5" s="23">
        <f t="shared" si="0"/>
        <v>1565.27</v>
      </c>
      <c r="J5" s="24">
        <f t="shared" si="1"/>
        <v>2.9499999999999998E-2</v>
      </c>
      <c r="K5" s="25">
        <f t="shared" si="2"/>
        <v>2.9500000000000004E-3</v>
      </c>
      <c r="L5" s="23">
        <f t="shared" si="3"/>
        <v>1566.8777500000001</v>
      </c>
      <c r="M5" s="23">
        <v>0</v>
      </c>
      <c r="N5" s="75"/>
    </row>
    <row r="6" spans="1:14" ht="19.5" customHeight="1" x14ac:dyDescent="0.2">
      <c r="A6" s="15" t="s">
        <v>96</v>
      </c>
      <c r="B6" s="16" t="s">
        <v>97</v>
      </c>
      <c r="C6" s="16" t="s">
        <v>98</v>
      </c>
      <c r="D6" s="13">
        <v>25300</v>
      </c>
      <c r="E6" s="26">
        <v>1.026E-2</v>
      </c>
      <c r="F6" s="27">
        <v>53.06</v>
      </c>
      <c r="G6" s="26">
        <v>1E-3</v>
      </c>
      <c r="H6" s="28">
        <v>1E-4</v>
      </c>
      <c r="I6" s="29">
        <f t="shared" si="0"/>
        <v>1342.4179999999999</v>
      </c>
      <c r="J6" s="30">
        <f t="shared" si="1"/>
        <v>2.53E-2</v>
      </c>
      <c r="K6" s="31">
        <f t="shared" si="2"/>
        <v>2.5300000000000001E-3</v>
      </c>
      <c r="L6" s="29">
        <f t="shared" si="3"/>
        <v>1343.7968499999999</v>
      </c>
      <c r="M6" s="29">
        <v>0</v>
      </c>
      <c r="N6" s="68"/>
    </row>
    <row r="7" spans="1:14" ht="19.5" customHeight="1" x14ac:dyDescent="0.2">
      <c r="A7" s="8" t="s">
        <v>99</v>
      </c>
      <c r="B7" s="11" t="s">
        <v>100</v>
      </c>
      <c r="C7" s="11" t="s">
        <v>101</v>
      </c>
      <c r="D7" s="18">
        <v>21100</v>
      </c>
      <c r="E7" s="20">
        <v>1.026E-2</v>
      </c>
      <c r="F7" s="21">
        <v>53.06</v>
      </c>
      <c r="G7" s="20">
        <v>1E-3</v>
      </c>
      <c r="H7" s="22">
        <v>1E-4</v>
      </c>
      <c r="I7" s="23">
        <f t="shared" si="0"/>
        <v>1119.566</v>
      </c>
      <c r="J7" s="24">
        <f t="shared" si="1"/>
        <v>2.1100000000000001E-2</v>
      </c>
      <c r="K7" s="25">
        <f t="shared" si="2"/>
        <v>2.1100000000000003E-3</v>
      </c>
      <c r="L7" s="23">
        <f t="shared" si="3"/>
        <v>1120.71595</v>
      </c>
      <c r="M7" s="23">
        <v>0</v>
      </c>
      <c r="N7" s="11"/>
    </row>
    <row r="8" spans="1:14" ht="19.5" customHeight="1" x14ac:dyDescent="0.2">
      <c r="A8" s="15" t="s">
        <v>102</v>
      </c>
      <c r="B8" s="16" t="s">
        <v>103</v>
      </c>
      <c r="C8" s="16" t="s">
        <v>104</v>
      </c>
      <c r="D8" s="13">
        <v>18300</v>
      </c>
      <c r="E8" s="26">
        <v>1.026E-2</v>
      </c>
      <c r="F8" s="27">
        <v>53.06</v>
      </c>
      <c r="G8" s="26">
        <v>1E-3</v>
      </c>
      <c r="H8" s="28">
        <v>1E-4</v>
      </c>
      <c r="I8" s="29">
        <f t="shared" si="0"/>
        <v>970.99800000000005</v>
      </c>
      <c r="J8" s="30">
        <f t="shared" si="1"/>
        <v>1.83E-2</v>
      </c>
      <c r="K8" s="31">
        <f t="shared" si="2"/>
        <v>1.83E-3</v>
      </c>
      <c r="L8" s="29">
        <f t="shared" si="3"/>
        <v>971.99535000000003</v>
      </c>
      <c r="M8" s="29">
        <v>0</v>
      </c>
      <c r="N8" s="16"/>
    </row>
    <row r="9" spans="1:14" ht="19.5" customHeight="1" x14ac:dyDescent="0.2">
      <c r="A9" s="8" t="s">
        <v>105</v>
      </c>
      <c r="B9" s="11" t="s">
        <v>106</v>
      </c>
      <c r="C9" s="11" t="s">
        <v>107</v>
      </c>
      <c r="D9" s="18">
        <v>16900</v>
      </c>
      <c r="E9" s="20">
        <v>1.026E-2</v>
      </c>
      <c r="F9" s="21">
        <v>53.06</v>
      </c>
      <c r="G9" s="20">
        <v>1E-3</v>
      </c>
      <c r="H9" s="22">
        <v>1E-4</v>
      </c>
      <c r="I9" s="23">
        <f t="shared" si="0"/>
        <v>896.71400000000006</v>
      </c>
      <c r="J9" s="24">
        <f t="shared" si="1"/>
        <v>1.6899999999999998E-2</v>
      </c>
      <c r="K9" s="25">
        <f t="shared" si="2"/>
        <v>1.6900000000000001E-3</v>
      </c>
      <c r="L9" s="23">
        <f t="shared" si="3"/>
        <v>897.63505000000009</v>
      </c>
      <c r="M9" s="23">
        <v>0</v>
      </c>
      <c r="N9" s="11"/>
    </row>
    <row r="10" spans="1:14" ht="19.5" customHeight="1" x14ac:dyDescent="0.2">
      <c r="A10" s="15" t="s">
        <v>108</v>
      </c>
      <c r="B10" s="16" t="s">
        <v>109</v>
      </c>
      <c r="C10" s="16" t="s">
        <v>110</v>
      </c>
      <c r="D10" s="13">
        <v>18300</v>
      </c>
      <c r="E10" s="26">
        <v>1.026E-2</v>
      </c>
      <c r="F10" s="27">
        <v>53.06</v>
      </c>
      <c r="G10" s="26">
        <v>1E-3</v>
      </c>
      <c r="H10" s="28">
        <v>1E-4</v>
      </c>
      <c r="I10" s="29">
        <f t="shared" si="0"/>
        <v>970.99800000000005</v>
      </c>
      <c r="J10" s="30">
        <f t="shared" si="1"/>
        <v>1.83E-2</v>
      </c>
      <c r="K10" s="31">
        <f t="shared" si="2"/>
        <v>1.83E-3</v>
      </c>
      <c r="L10" s="29">
        <f t="shared" si="3"/>
        <v>971.99535000000003</v>
      </c>
      <c r="M10" s="29">
        <v>0</v>
      </c>
      <c r="N10" s="16"/>
    </row>
    <row r="11" spans="1:14" ht="19.5" customHeight="1" x14ac:dyDescent="0.2">
      <c r="A11" s="8" t="s">
        <v>111</v>
      </c>
      <c r="B11" s="11" t="s">
        <v>112</v>
      </c>
      <c r="C11" s="11" t="s">
        <v>113</v>
      </c>
      <c r="D11" s="18">
        <v>19700</v>
      </c>
      <c r="E11" s="20">
        <v>1.026E-2</v>
      </c>
      <c r="F11" s="21">
        <v>53.06</v>
      </c>
      <c r="G11" s="20">
        <v>1E-3</v>
      </c>
      <c r="H11" s="22">
        <v>1E-4</v>
      </c>
      <c r="I11" s="23">
        <f t="shared" si="0"/>
        <v>1045.2819999999999</v>
      </c>
      <c r="J11" s="24">
        <f t="shared" si="1"/>
        <v>1.9699999999999999E-2</v>
      </c>
      <c r="K11" s="25">
        <f t="shared" si="2"/>
        <v>1.9700000000000004E-3</v>
      </c>
      <c r="L11" s="23">
        <f t="shared" si="3"/>
        <v>1046.35565</v>
      </c>
      <c r="M11" s="23">
        <v>0</v>
      </c>
      <c r="N11" s="11"/>
    </row>
    <row r="12" spans="1:14" ht="19.5" customHeight="1" x14ac:dyDescent="0.2">
      <c r="A12" s="15" t="s">
        <v>114</v>
      </c>
      <c r="B12" s="16" t="s">
        <v>115</v>
      </c>
      <c r="C12" s="16" t="s">
        <v>116</v>
      </c>
      <c r="D12" s="67">
        <v>281000</v>
      </c>
      <c r="E12" s="26">
        <v>1.026E-2</v>
      </c>
      <c r="F12" s="27">
        <v>53.06</v>
      </c>
      <c r="G12" s="26">
        <v>1E-3</v>
      </c>
      <c r="H12" s="28">
        <v>1E-4</v>
      </c>
      <c r="I12" s="70">
        <f t="shared" si="0"/>
        <v>14909.86</v>
      </c>
      <c r="J12" s="71">
        <f t="shared" si="1"/>
        <v>0.28100000000000003</v>
      </c>
      <c r="K12" s="72">
        <f t="shared" si="2"/>
        <v>2.81E-2</v>
      </c>
      <c r="L12" s="70">
        <f t="shared" si="3"/>
        <v>14925.174500000001</v>
      </c>
      <c r="M12" s="29">
        <v>0</v>
      </c>
      <c r="N12" s="76"/>
    </row>
    <row r="13" spans="1:14" ht="19.5" customHeight="1" x14ac:dyDescent="0.2">
      <c r="A13" s="8" t="s">
        <v>117</v>
      </c>
      <c r="B13" s="11" t="s">
        <v>118</v>
      </c>
      <c r="C13" s="11" t="s">
        <v>119</v>
      </c>
      <c r="D13" s="18">
        <v>31000</v>
      </c>
      <c r="E13" s="20">
        <v>1.026E-2</v>
      </c>
      <c r="F13" s="21">
        <v>53.06</v>
      </c>
      <c r="G13" s="20">
        <v>1E-3</v>
      </c>
      <c r="H13" s="22">
        <v>1E-4</v>
      </c>
      <c r="I13" s="23">
        <f t="shared" si="0"/>
        <v>1644.86</v>
      </c>
      <c r="J13" s="24">
        <f t="shared" si="1"/>
        <v>3.1E-2</v>
      </c>
      <c r="K13" s="25">
        <f t="shared" si="2"/>
        <v>3.0999999999999999E-3</v>
      </c>
      <c r="L13" s="23">
        <f t="shared" si="3"/>
        <v>1646.5494999999999</v>
      </c>
      <c r="M13" s="23">
        <v>0</v>
      </c>
      <c r="N13" s="11"/>
    </row>
    <row r="14" spans="1:14" ht="19.5" customHeight="1" x14ac:dyDescent="0.2">
      <c r="A14" s="15" t="s">
        <v>120</v>
      </c>
      <c r="B14" s="16" t="s">
        <v>121</v>
      </c>
      <c r="C14" s="16" t="s">
        <v>122</v>
      </c>
      <c r="D14" s="69">
        <f>AVERAGE('Natural Gas'!D3,'Natural Gas'!D13)</f>
        <v>31700</v>
      </c>
      <c r="E14" s="26">
        <v>1.026E-2</v>
      </c>
      <c r="F14" s="27">
        <v>53.06</v>
      </c>
      <c r="G14" s="26">
        <v>1E-3</v>
      </c>
      <c r="H14" s="28">
        <v>1E-4</v>
      </c>
      <c r="I14" s="29">
        <f t="shared" si="0"/>
        <v>1682.002</v>
      </c>
      <c r="J14" s="30">
        <f t="shared" si="1"/>
        <v>3.1699999999999999E-2</v>
      </c>
      <c r="K14" s="31">
        <f t="shared" si="2"/>
        <v>3.1700000000000005E-3</v>
      </c>
      <c r="L14" s="77">
        <f t="shared" si="3"/>
        <v>1683.72965</v>
      </c>
      <c r="M14" s="29">
        <v>0</v>
      </c>
      <c r="N14" s="68"/>
    </row>
    <row r="15" spans="1:14" ht="21.75" customHeight="1" x14ac:dyDescent="0.2">
      <c r="A15" s="2" t="s">
        <v>123</v>
      </c>
      <c r="B15" s="2"/>
      <c r="C15" s="2"/>
      <c r="D15" s="32">
        <f>SUM(D3:D14)</f>
        <v>556200</v>
      </c>
      <c r="I15" s="32">
        <f>SUM(I3:I14)</f>
        <v>29511.972000000002</v>
      </c>
      <c r="J15" s="32">
        <f>SUM(J3:J14)</f>
        <v>0.55620000000000003</v>
      </c>
      <c r="K15" s="32">
        <f>SUM(K3:K14)</f>
        <v>5.5620000000000003E-2</v>
      </c>
      <c r="L15" s="32">
        <f>SUM(L3:L14)</f>
        <v>29542.284900000002</v>
      </c>
      <c r="M15" s="32">
        <f>SUM(M3:M14)</f>
        <v>0</v>
      </c>
    </row>
    <row r="17" spans="1:14" s="74" customFormat="1" ht="15" customHeight="1" x14ac:dyDescent="0.2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</row>
  </sheetData>
  <mergeCells count="3">
    <mergeCell ref="A1:N1"/>
    <mergeCell ref="A15:C15"/>
    <mergeCell ref="A17:N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showGridLines="0" zoomScale="125" zoomScaleNormal="100" workbookViewId="0">
      <selection activeCell="G15" sqref="G15"/>
    </sheetView>
  </sheetViews>
  <sheetFormatPr baseColWidth="10" defaultColWidth="8.6640625" defaultRowHeight="15" x14ac:dyDescent="0.2"/>
  <cols>
    <col min="1" max="1" width="13" customWidth="1"/>
    <col min="2" max="5" width="16" customWidth="1"/>
    <col min="6" max="6" width="20" customWidth="1"/>
    <col min="7" max="8" width="16" customWidth="1"/>
    <col min="9" max="9" width="32" customWidth="1"/>
  </cols>
  <sheetData>
    <row r="1" spans="1:13" ht="27.75" customHeight="1" x14ac:dyDescent="0.2">
      <c r="A1" s="52" t="s">
        <v>124</v>
      </c>
      <c r="B1" s="52"/>
      <c r="C1" s="52"/>
      <c r="D1" s="52"/>
      <c r="E1" s="52"/>
      <c r="F1" s="52"/>
      <c r="G1" s="52"/>
      <c r="H1" s="53"/>
      <c r="I1" s="56"/>
    </row>
    <row r="2" spans="1:13" ht="39.75" customHeight="1" x14ac:dyDescent="0.2">
      <c r="A2" s="10" t="s">
        <v>74</v>
      </c>
      <c r="B2" s="10" t="s">
        <v>125</v>
      </c>
      <c r="C2" s="10" t="s">
        <v>126</v>
      </c>
      <c r="D2" s="10" t="s">
        <v>127</v>
      </c>
      <c r="E2" s="10" t="s">
        <v>78</v>
      </c>
      <c r="F2" s="10" t="s">
        <v>128</v>
      </c>
      <c r="G2" s="10" t="s">
        <v>82</v>
      </c>
      <c r="I2" s="58"/>
    </row>
    <row r="3" spans="1:13" ht="19.5" customHeight="1" x14ac:dyDescent="0.2">
      <c r="A3" s="8" t="s">
        <v>87</v>
      </c>
      <c r="B3" s="18">
        <v>1000000</v>
      </c>
      <c r="C3" s="18">
        <v>1082000</v>
      </c>
      <c r="D3" s="18">
        <f t="shared" ref="D3:D14" si="0">C3-B3</f>
        <v>82000</v>
      </c>
      <c r="E3">
        <v>5.5000000000000003E-4</v>
      </c>
      <c r="F3">
        <v>2.6800000000000001E-2</v>
      </c>
      <c r="G3" s="51">
        <f>D3*E3*F3*(44/12)*0.001</f>
        <v>4.431826666666667E-3</v>
      </c>
      <c r="I3" s="55"/>
    </row>
    <row r="4" spans="1:13" ht="19.5" customHeight="1" x14ac:dyDescent="0.2">
      <c r="A4" s="15" t="s">
        <v>90</v>
      </c>
      <c r="B4" s="13">
        <v>1082000</v>
      </c>
      <c r="C4" s="13">
        <v>1157000</v>
      </c>
      <c r="D4" s="13">
        <f t="shared" si="0"/>
        <v>75000</v>
      </c>
      <c r="E4">
        <v>5.5000000000000003E-4</v>
      </c>
      <c r="F4">
        <v>2.6800000000000001E-2</v>
      </c>
      <c r="G4" s="51">
        <f t="shared" ref="G4:G14" si="1">D4*E4*F4*(44/12)*0.001</f>
        <v>4.0534999999999998E-3</v>
      </c>
      <c r="I4" s="55"/>
    </row>
    <row r="5" spans="1:13" ht="19.5" customHeight="1" x14ac:dyDescent="0.2">
      <c r="A5" s="8" t="s">
        <v>93</v>
      </c>
      <c r="B5" s="18">
        <v>1157000</v>
      </c>
      <c r="C5" s="18">
        <v>1240000</v>
      </c>
      <c r="D5" s="18">
        <f t="shared" si="0"/>
        <v>83000</v>
      </c>
      <c r="E5">
        <v>5.5000000000000003E-4</v>
      </c>
      <c r="F5">
        <v>2.6800000000000001E-2</v>
      </c>
      <c r="G5" s="51">
        <f t="shared" si="1"/>
        <v>4.4858733333333345E-3</v>
      </c>
      <c r="I5" s="55"/>
    </row>
    <row r="6" spans="1:13" ht="19.5" customHeight="1" x14ac:dyDescent="0.2">
      <c r="A6" s="15" t="s">
        <v>96</v>
      </c>
      <c r="B6" s="13">
        <v>1240000</v>
      </c>
      <c r="C6" s="13">
        <v>1320000</v>
      </c>
      <c r="D6" s="13">
        <f t="shared" si="0"/>
        <v>80000</v>
      </c>
      <c r="E6">
        <v>5.5000000000000003E-4</v>
      </c>
      <c r="F6">
        <v>2.6800000000000001E-2</v>
      </c>
      <c r="G6" s="51">
        <f t="shared" si="1"/>
        <v>4.3237333333333329E-3</v>
      </c>
      <c r="I6" s="55"/>
    </row>
    <row r="7" spans="1:13" ht="19.5" customHeight="1" x14ac:dyDescent="0.2">
      <c r="A7" s="8" t="s">
        <v>99</v>
      </c>
      <c r="B7" s="18">
        <v>1320000</v>
      </c>
      <c r="C7" s="18">
        <v>1400000</v>
      </c>
      <c r="D7" s="18">
        <f t="shared" si="0"/>
        <v>80000</v>
      </c>
      <c r="E7">
        <v>5.5000000000000003E-4</v>
      </c>
      <c r="F7">
        <v>2.6800000000000001E-2</v>
      </c>
      <c r="G7" s="51">
        <f t="shared" si="1"/>
        <v>4.3237333333333329E-3</v>
      </c>
      <c r="I7" s="55"/>
    </row>
    <row r="8" spans="1:13" ht="19.5" customHeight="1" x14ac:dyDescent="0.2">
      <c r="A8" s="15" t="s">
        <v>102</v>
      </c>
      <c r="B8" s="13">
        <v>1400000</v>
      </c>
      <c r="C8" s="13">
        <v>1483000</v>
      </c>
      <c r="D8" s="13">
        <f t="shared" si="0"/>
        <v>83000</v>
      </c>
      <c r="E8">
        <v>5.5000000000000003E-4</v>
      </c>
      <c r="F8">
        <v>2.6800000000000001E-2</v>
      </c>
      <c r="G8" s="51">
        <f t="shared" si="1"/>
        <v>4.4858733333333345E-3</v>
      </c>
      <c r="I8" s="57"/>
    </row>
    <row r="9" spans="1:13" ht="19.5" customHeight="1" x14ac:dyDescent="0.2">
      <c r="A9" s="8" t="s">
        <v>105</v>
      </c>
      <c r="B9" s="18">
        <v>1483000</v>
      </c>
      <c r="C9" s="18">
        <v>1568000</v>
      </c>
      <c r="D9" s="18">
        <f t="shared" si="0"/>
        <v>85000</v>
      </c>
      <c r="E9">
        <v>5.5000000000000003E-4</v>
      </c>
      <c r="F9">
        <v>2.6800000000000001E-2</v>
      </c>
      <c r="G9" s="51">
        <f t="shared" si="1"/>
        <v>4.5939666666666669E-3</v>
      </c>
      <c r="I9" s="57"/>
    </row>
    <row r="10" spans="1:13" ht="19.5" customHeight="1" x14ac:dyDescent="0.2">
      <c r="A10" s="15" t="s">
        <v>108</v>
      </c>
      <c r="B10" s="13">
        <v>1568000</v>
      </c>
      <c r="C10" s="13">
        <v>1655000</v>
      </c>
      <c r="D10" s="13">
        <f t="shared" si="0"/>
        <v>87000</v>
      </c>
      <c r="E10">
        <v>5.5000000000000003E-4</v>
      </c>
      <c r="F10">
        <v>2.6800000000000001E-2</v>
      </c>
      <c r="G10" s="51">
        <f t="shared" si="1"/>
        <v>4.7020600000000001E-3</v>
      </c>
      <c r="I10" s="57"/>
    </row>
    <row r="11" spans="1:13" ht="19.5" customHeight="1" x14ac:dyDescent="0.2">
      <c r="A11" s="8" t="s">
        <v>111</v>
      </c>
      <c r="B11" s="18">
        <v>1655000</v>
      </c>
      <c r="C11" s="18">
        <v>1740000</v>
      </c>
      <c r="D11" s="18">
        <f t="shared" si="0"/>
        <v>85000</v>
      </c>
      <c r="E11">
        <v>5.5000000000000003E-4</v>
      </c>
      <c r="F11">
        <v>2.6800000000000001E-2</v>
      </c>
      <c r="G11" s="51">
        <f t="shared" si="1"/>
        <v>4.5939666666666669E-3</v>
      </c>
      <c r="I11" s="57"/>
    </row>
    <row r="12" spans="1:13" ht="19.5" customHeight="1" x14ac:dyDescent="0.2">
      <c r="A12" s="15" t="s">
        <v>114</v>
      </c>
      <c r="B12" s="13">
        <v>1740000</v>
      </c>
      <c r="C12" s="13">
        <v>1825000</v>
      </c>
      <c r="D12" s="13">
        <f t="shared" si="0"/>
        <v>85000</v>
      </c>
      <c r="E12">
        <v>5.5000000000000003E-4</v>
      </c>
      <c r="F12">
        <v>2.6800000000000001E-2</v>
      </c>
      <c r="G12" s="51">
        <f t="shared" si="1"/>
        <v>4.5939666666666669E-3</v>
      </c>
      <c r="I12" s="57"/>
    </row>
    <row r="13" spans="1:13" ht="19.5" customHeight="1" x14ac:dyDescent="0.2">
      <c r="A13" s="8" t="s">
        <v>117</v>
      </c>
      <c r="B13" s="18">
        <v>1825000</v>
      </c>
      <c r="C13" s="18">
        <v>1908000</v>
      </c>
      <c r="D13" s="18">
        <f t="shared" si="0"/>
        <v>83000</v>
      </c>
      <c r="E13">
        <v>5.5000000000000003E-4</v>
      </c>
      <c r="F13">
        <v>2.6800000000000001E-2</v>
      </c>
      <c r="G13" s="51">
        <f t="shared" si="1"/>
        <v>4.4858733333333345E-3</v>
      </c>
      <c r="I13" s="57"/>
    </row>
    <row r="14" spans="1:13" ht="19.5" customHeight="1" x14ac:dyDescent="0.2">
      <c r="A14" s="15" t="s">
        <v>120</v>
      </c>
      <c r="B14" s="13">
        <v>1908000</v>
      </c>
      <c r="C14" s="13">
        <v>1990000</v>
      </c>
      <c r="D14" s="13">
        <f t="shared" si="0"/>
        <v>82000</v>
      </c>
      <c r="E14">
        <v>5.5000000000000003E-4</v>
      </c>
      <c r="F14">
        <v>2.6800000000000001E-2</v>
      </c>
      <c r="G14" s="51">
        <f t="shared" si="1"/>
        <v>4.431826666666667E-3</v>
      </c>
      <c r="I14" s="57"/>
      <c r="M14" s="54"/>
    </row>
    <row r="15" spans="1:13" ht="58" customHeight="1" x14ac:dyDescent="0.2">
      <c r="A15" s="33" t="s">
        <v>129</v>
      </c>
      <c r="D15" s="34">
        <f>SUM(D3:D14)</f>
        <v>990000</v>
      </c>
      <c r="G15" s="59">
        <f>SUM(G3:G14)</f>
        <v>5.3506199999999997E-2</v>
      </c>
    </row>
    <row r="17" spans="1:9" s="61" customFormat="1" ht="21.75" customHeight="1" x14ac:dyDescent="0.2">
      <c r="A17" s="60"/>
      <c r="B17" s="60"/>
      <c r="C17" s="60"/>
      <c r="D17" s="60"/>
      <c r="E17" s="60"/>
      <c r="F17" s="60"/>
      <c r="G17" s="60"/>
      <c r="H17" s="60"/>
      <c r="I17" s="60"/>
    </row>
  </sheetData>
  <mergeCells count="2">
    <mergeCell ref="A17:I17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showGridLines="0" zoomScale="125" zoomScaleNormal="100" workbookViewId="0">
      <selection activeCell="F18" sqref="F18"/>
    </sheetView>
  </sheetViews>
  <sheetFormatPr baseColWidth="10" defaultColWidth="8.6640625" defaultRowHeight="15" x14ac:dyDescent="0.2"/>
  <cols>
    <col min="1" max="1" width="13" customWidth="1"/>
    <col min="2" max="2" width="22" customWidth="1"/>
    <col min="3" max="3" width="12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  <col min="9" max="9" width="20" customWidth="1"/>
    <col min="10" max="10" width="28" customWidth="1"/>
  </cols>
  <sheetData>
    <row r="1" spans="1:10" ht="27.75" customHeight="1" x14ac:dyDescent="0.2">
      <c r="A1" s="3" t="s">
        <v>130</v>
      </c>
      <c r="B1" s="3"/>
      <c r="C1" s="3"/>
      <c r="D1" s="3"/>
      <c r="E1" s="3"/>
      <c r="F1" s="3"/>
      <c r="G1" s="3"/>
      <c r="H1" s="3"/>
      <c r="I1" s="3"/>
      <c r="J1" s="3"/>
    </row>
    <row r="2" spans="1:10" ht="43.5" customHeight="1" x14ac:dyDescent="0.2">
      <c r="A2" s="10" t="s">
        <v>74</v>
      </c>
      <c r="B2" s="10" t="s">
        <v>131</v>
      </c>
      <c r="C2" s="10" t="s">
        <v>132</v>
      </c>
      <c r="D2" s="10" t="s">
        <v>133</v>
      </c>
      <c r="E2" s="10" t="s">
        <v>134</v>
      </c>
      <c r="F2" s="10" t="s">
        <v>135</v>
      </c>
      <c r="G2" s="10" t="s">
        <v>136</v>
      </c>
      <c r="H2" s="10" t="s">
        <v>82</v>
      </c>
      <c r="I2" s="10" t="s">
        <v>137</v>
      </c>
      <c r="J2" s="10" t="s">
        <v>46</v>
      </c>
    </row>
    <row r="3" spans="1:10" ht="21.75" customHeight="1" x14ac:dyDescent="0.2">
      <c r="A3" s="8" t="s">
        <v>87</v>
      </c>
      <c r="B3" s="11" t="s">
        <v>30</v>
      </c>
      <c r="C3" s="18">
        <v>12000</v>
      </c>
      <c r="D3" s="11" t="s">
        <v>138</v>
      </c>
      <c r="E3" s="35">
        <v>1.022</v>
      </c>
      <c r="F3" s="12">
        <f t="shared" ref="F3:F14" si="0">C3*E3</f>
        <v>12264</v>
      </c>
      <c r="G3" s="21">
        <v>53.06</v>
      </c>
      <c r="H3" s="23">
        <f t="shared" ref="H3:H14" si="1">F3*G3/1000</f>
        <v>650.72784000000013</v>
      </c>
      <c r="I3" s="11" t="s">
        <v>139</v>
      </c>
      <c r="J3" s="11"/>
    </row>
    <row r="4" spans="1:10" ht="21.75" customHeight="1" x14ac:dyDescent="0.2">
      <c r="A4" s="15" t="s">
        <v>90</v>
      </c>
      <c r="B4" s="16" t="s">
        <v>30</v>
      </c>
      <c r="C4" s="13">
        <v>11500</v>
      </c>
      <c r="D4" s="16" t="s">
        <v>138</v>
      </c>
      <c r="E4" s="36">
        <v>1.022</v>
      </c>
      <c r="F4" s="17">
        <f t="shared" si="0"/>
        <v>11753</v>
      </c>
      <c r="G4" s="27">
        <v>53.06</v>
      </c>
      <c r="H4" s="29">
        <f t="shared" si="1"/>
        <v>623.61418000000003</v>
      </c>
      <c r="I4" s="16" t="s">
        <v>139</v>
      </c>
      <c r="J4" s="16"/>
    </row>
    <row r="5" spans="1:10" ht="21.75" customHeight="1" x14ac:dyDescent="0.2">
      <c r="A5" s="8" t="s">
        <v>93</v>
      </c>
      <c r="B5" s="11" t="s">
        <v>30</v>
      </c>
      <c r="C5" s="18">
        <v>11000</v>
      </c>
      <c r="D5" s="11" t="s">
        <v>138</v>
      </c>
      <c r="E5" s="35">
        <v>1.022</v>
      </c>
      <c r="F5" s="12">
        <f t="shared" si="0"/>
        <v>11242</v>
      </c>
      <c r="G5" s="21">
        <v>53.06</v>
      </c>
      <c r="H5" s="23">
        <f t="shared" si="1"/>
        <v>596.50052000000005</v>
      </c>
      <c r="I5" s="11" t="s">
        <v>139</v>
      </c>
      <c r="J5" s="11"/>
    </row>
    <row r="6" spans="1:10" ht="21.75" customHeight="1" x14ac:dyDescent="0.2">
      <c r="A6" s="15" t="s">
        <v>96</v>
      </c>
      <c r="B6" s="16" t="s">
        <v>30</v>
      </c>
      <c r="C6" s="13">
        <v>9400</v>
      </c>
      <c r="D6" s="16" t="s">
        <v>138</v>
      </c>
      <c r="E6" s="36">
        <v>1.022</v>
      </c>
      <c r="F6" s="17">
        <f t="shared" si="0"/>
        <v>9606.8000000000011</v>
      </c>
      <c r="G6" s="27">
        <v>53.06</v>
      </c>
      <c r="H6" s="29">
        <f t="shared" si="1"/>
        <v>509.73680800000005</v>
      </c>
      <c r="I6" s="16" t="s">
        <v>139</v>
      </c>
      <c r="J6" s="16"/>
    </row>
    <row r="7" spans="1:10" ht="21.75" customHeight="1" x14ac:dyDescent="0.2">
      <c r="A7" s="8" t="s">
        <v>99</v>
      </c>
      <c r="B7" s="11" t="s">
        <v>30</v>
      </c>
      <c r="C7" s="18">
        <v>7800</v>
      </c>
      <c r="D7" s="11" t="s">
        <v>138</v>
      </c>
      <c r="E7" s="35">
        <v>1.022</v>
      </c>
      <c r="F7" s="12">
        <f t="shared" si="0"/>
        <v>7971.6</v>
      </c>
      <c r="G7" s="21">
        <v>53.06</v>
      </c>
      <c r="H7" s="23">
        <f t="shared" si="1"/>
        <v>422.973096</v>
      </c>
      <c r="I7" s="11" t="s">
        <v>139</v>
      </c>
      <c r="J7" s="11"/>
    </row>
    <row r="8" spans="1:10" ht="21.75" customHeight="1" x14ac:dyDescent="0.2">
      <c r="A8" s="15" t="s">
        <v>102</v>
      </c>
      <c r="B8" s="16" t="s">
        <v>30</v>
      </c>
      <c r="C8" s="13">
        <v>6800</v>
      </c>
      <c r="D8" s="16" t="s">
        <v>138</v>
      </c>
      <c r="E8" s="36">
        <v>1.022</v>
      </c>
      <c r="F8" s="17">
        <f t="shared" si="0"/>
        <v>6949.6</v>
      </c>
      <c r="G8" s="27">
        <v>53.06</v>
      </c>
      <c r="H8" s="29">
        <f t="shared" si="1"/>
        <v>368.74577600000003</v>
      </c>
      <c r="I8" s="16" t="s">
        <v>139</v>
      </c>
      <c r="J8" s="16"/>
    </row>
    <row r="9" spans="1:10" ht="21.75" customHeight="1" x14ac:dyDescent="0.2">
      <c r="A9" s="8" t="s">
        <v>105</v>
      </c>
      <c r="B9" s="11" t="s">
        <v>30</v>
      </c>
      <c r="C9" s="18">
        <v>6300</v>
      </c>
      <c r="D9" s="11" t="s">
        <v>138</v>
      </c>
      <c r="E9" s="35">
        <v>1.022</v>
      </c>
      <c r="F9" s="12">
        <f t="shared" si="0"/>
        <v>6438.6</v>
      </c>
      <c r="G9" s="21">
        <v>53.06</v>
      </c>
      <c r="H9" s="23">
        <f t="shared" si="1"/>
        <v>341.63211600000005</v>
      </c>
      <c r="I9" s="11" t="s">
        <v>139</v>
      </c>
      <c r="J9" s="11"/>
    </row>
    <row r="10" spans="1:10" ht="21.75" customHeight="1" x14ac:dyDescent="0.2">
      <c r="A10" s="15" t="s">
        <v>108</v>
      </c>
      <c r="B10" s="63" t="s">
        <v>140</v>
      </c>
      <c r="C10" s="13">
        <v>460</v>
      </c>
      <c r="D10" s="16" t="s">
        <v>141</v>
      </c>
      <c r="E10" s="36">
        <v>8.5</v>
      </c>
      <c r="F10" s="17">
        <f t="shared" si="0"/>
        <v>3910</v>
      </c>
      <c r="G10" s="64">
        <v>53.06</v>
      </c>
      <c r="H10" s="65">
        <f t="shared" si="1"/>
        <v>207.46460000000002</v>
      </c>
      <c r="I10" s="63" t="s">
        <v>142</v>
      </c>
      <c r="J10" s="63"/>
    </row>
    <row r="11" spans="1:10" ht="21.75" customHeight="1" x14ac:dyDescent="0.2">
      <c r="A11" s="8" t="s">
        <v>111</v>
      </c>
      <c r="B11" s="63" t="s">
        <v>140</v>
      </c>
      <c r="C11" s="18">
        <v>490</v>
      </c>
      <c r="D11" s="11" t="s">
        <v>141</v>
      </c>
      <c r="E11" s="35">
        <v>8.5</v>
      </c>
      <c r="F11" s="12">
        <f t="shared" si="0"/>
        <v>4165</v>
      </c>
      <c r="G11" s="64">
        <v>53.06</v>
      </c>
      <c r="H11" s="65">
        <f t="shared" si="1"/>
        <v>220.99490000000003</v>
      </c>
      <c r="I11" s="63" t="s">
        <v>142</v>
      </c>
      <c r="J11" s="63"/>
    </row>
    <row r="12" spans="1:10" ht="21.75" customHeight="1" x14ac:dyDescent="0.2">
      <c r="A12" s="15" t="s">
        <v>114</v>
      </c>
      <c r="B12" s="16" t="s">
        <v>30</v>
      </c>
      <c r="C12" s="13">
        <v>10500</v>
      </c>
      <c r="D12" s="16" t="s">
        <v>138</v>
      </c>
      <c r="E12" s="36">
        <v>1.022</v>
      </c>
      <c r="F12" s="17">
        <f t="shared" si="0"/>
        <v>10731</v>
      </c>
      <c r="G12" s="27">
        <v>53.06</v>
      </c>
      <c r="H12" s="29">
        <f t="shared" si="1"/>
        <v>569.38685999999996</v>
      </c>
      <c r="I12" s="16" t="s">
        <v>139</v>
      </c>
      <c r="J12" s="16"/>
    </row>
    <row r="13" spans="1:10" ht="21.75" customHeight="1" x14ac:dyDescent="0.2">
      <c r="A13" s="8" t="s">
        <v>117</v>
      </c>
      <c r="B13" s="11" t="s">
        <v>30</v>
      </c>
      <c r="C13" s="18">
        <v>11500</v>
      </c>
      <c r="D13" s="11" t="s">
        <v>138</v>
      </c>
      <c r="E13" s="35">
        <v>1.022</v>
      </c>
      <c r="F13" s="12">
        <f t="shared" si="0"/>
        <v>11753</v>
      </c>
      <c r="G13" s="21">
        <v>53.06</v>
      </c>
      <c r="H13" s="23">
        <f t="shared" si="1"/>
        <v>623.61418000000003</v>
      </c>
      <c r="I13" s="11" t="s">
        <v>139</v>
      </c>
      <c r="J13" s="11"/>
    </row>
    <row r="14" spans="1:10" ht="21.75" customHeight="1" x14ac:dyDescent="0.2">
      <c r="A14" s="15" t="s">
        <v>120</v>
      </c>
      <c r="B14" s="16" t="s">
        <v>30</v>
      </c>
      <c r="C14" s="13">
        <v>12000</v>
      </c>
      <c r="D14" s="16" t="s">
        <v>138</v>
      </c>
      <c r="E14" s="36">
        <v>1.022</v>
      </c>
      <c r="F14" s="17">
        <f t="shared" si="0"/>
        <v>12264</v>
      </c>
      <c r="G14" s="27">
        <v>53.06</v>
      </c>
      <c r="H14" s="29">
        <f t="shared" si="1"/>
        <v>650.72784000000013</v>
      </c>
      <c r="I14" s="16" t="s">
        <v>139</v>
      </c>
      <c r="J14" s="16"/>
    </row>
    <row r="15" spans="1:10" ht="21.75" customHeight="1" x14ac:dyDescent="0.2">
      <c r="A15" s="2" t="s">
        <v>123</v>
      </c>
      <c r="B15" s="2"/>
      <c r="C15" s="2"/>
      <c r="D15" s="2"/>
      <c r="E15" s="2"/>
      <c r="F15" s="32">
        <f>SUM(F3:F14)</f>
        <v>109048.6</v>
      </c>
      <c r="H15" s="32">
        <f>SUM(H3:H14)</f>
        <v>5786.1187160000018</v>
      </c>
    </row>
    <row r="17" spans="1:10" ht="21.75" customHeight="1" x14ac:dyDescent="0.2">
      <c r="A17" s="66"/>
      <c r="B17" s="66"/>
      <c r="C17" s="66"/>
      <c r="D17" s="66"/>
      <c r="E17" s="66"/>
      <c r="F17" s="66"/>
      <c r="G17" s="66"/>
      <c r="H17" s="66"/>
      <c r="I17" s="66"/>
      <c r="J17" s="66"/>
    </row>
  </sheetData>
  <mergeCells count="3">
    <mergeCell ref="A1:J1"/>
    <mergeCell ref="A15:E15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showGridLines="0" zoomScale="115" zoomScaleNormal="100" workbookViewId="0">
      <selection activeCell="A7" sqref="A7:I7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14" customWidth="1"/>
    <col min="4" max="4" width="12" customWidth="1"/>
    <col min="5" max="8" width="14" customWidth="1"/>
    <col min="9" max="9" width="32" customWidth="1"/>
  </cols>
  <sheetData>
    <row r="1" spans="1:9" ht="27.75" customHeight="1" x14ac:dyDescent="0.2">
      <c r="A1" s="3" t="s">
        <v>143</v>
      </c>
      <c r="B1" s="3"/>
      <c r="C1" s="3"/>
      <c r="D1" s="3"/>
      <c r="E1" s="3"/>
      <c r="F1" s="3"/>
      <c r="G1" s="3"/>
      <c r="H1" s="3"/>
      <c r="I1" s="3"/>
    </row>
    <row r="2" spans="1:9" ht="24" customHeight="1" x14ac:dyDescent="0.2">
      <c r="A2" s="2" t="s">
        <v>144</v>
      </c>
      <c r="B2" s="2"/>
      <c r="C2" s="2"/>
      <c r="D2" s="2"/>
      <c r="E2" s="2"/>
      <c r="F2" s="2"/>
      <c r="G2" s="2"/>
      <c r="H2" s="2"/>
      <c r="I2" s="2"/>
    </row>
    <row r="3" spans="1:9" ht="36" customHeight="1" x14ac:dyDescent="0.2">
      <c r="A3" s="10" t="s">
        <v>145</v>
      </c>
      <c r="B3" s="10" t="s">
        <v>42</v>
      </c>
      <c r="C3" s="10" t="s">
        <v>146</v>
      </c>
      <c r="D3" s="10" t="s">
        <v>133</v>
      </c>
      <c r="E3" s="10" t="s">
        <v>135</v>
      </c>
      <c r="F3" s="10" t="s">
        <v>79</v>
      </c>
      <c r="G3" s="10" t="s">
        <v>82</v>
      </c>
      <c r="H3" s="10" t="s">
        <v>147</v>
      </c>
      <c r="I3" s="10" t="s">
        <v>46</v>
      </c>
    </row>
    <row r="4" spans="1:9" ht="53.25" customHeight="1" x14ac:dyDescent="0.2">
      <c r="A4" s="8" t="s">
        <v>148</v>
      </c>
      <c r="B4" s="11" t="s">
        <v>60</v>
      </c>
      <c r="C4" s="18">
        <v>106600</v>
      </c>
      <c r="D4" s="11" t="s">
        <v>149</v>
      </c>
      <c r="E4" s="12">
        <f>C4*0.092</f>
        <v>9807.2000000000007</v>
      </c>
      <c r="F4" s="21">
        <v>62.98</v>
      </c>
      <c r="G4" s="23">
        <f>E4*F4/1000</f>
        <v>617.65745600000002</v>
      </c>
      <c r="H4" s="63" t="s">
        <v>61</v>
      </c>
      <c r="I4" s="62"/>
    </row>
    <row r="5" spans="1:9" ht="15" customHeight="1" x14ac:dyDescent="0.2">
      <c r="A5" s="7" t="s">
        <v>150</v>
      </c>
      <c r="B5" s="37"/>
      <c r="C5" s="38">
        <f>C4</f>
        <v>106600</v>
      </c>
      <c r="D5" s="37"/>
      <c r="E5" s="38">
        <f>E4</f>
        <v>9807.2000000000007</v>
      </c>
      <c r="F5" s="37"/>
      <c r="G5" s="38">
        <f>G4</f>
        <v>617.65745600000002</v>
      </c>
      <c r="H5" s="37"/>
      <c r="I5" s="37"/>
    </row>
    <row r="7" spans="1:9" ht="24" customHeight="1" x14ac:dyDescent="0.2">
      <c r="A7" s="2" t="s">
        <v>151</v>
      </c>
      <c r="B7" s="2"/>
      <c r="C7" s="2"/>
      <c r="D7" s="2"/>
      <c r="E7" s="2"/>
      <c r="F7" s="2"/>
      <c r="G7" s="2"/>
      <c r="H7" s="2"/>
      <c r="I7" s="2"/>
    </row>
    <row r="8" spans="1:9" ht="36" customHeight="1" x14ac:dyDescent="0.2">
      <c r="A8" s="10" t="s">
        <v>145</v>
      </c>
      <c r="B8" s="10" t="s">
        <v>42</v>
      </c>
      <c r="C8" s="10" t="s">
        <v>146</v>
      </c>
      <c r="D8" s="10" t="s">
        <v>133</v>
      </c>
      <c r="E8" s="10" t="s">
        <v>135</v>
      </c>
      <c r="F8" s="10" t="s">
        <v>79</v>
      </c>
      <c r="G8" s="10" t="s">
        <v>82</v>
      </c>
      <c r="H8" s="10" t="s">
        <v>147</v>
      </c>
      <c r="I8" s="10" t="s">
        <v>46</v>
      </c>
    </row>
    <row r="9" spans="1:9" ht="34.5" customHeight="1" x14ac:dyDescent="0.2">
      <c r="A9" s="8" t="s">
        <v>152</v>
      </c>
      <c r="B9" s="11" t="s">
        <v>64</v>
      </c>
      <c r="C9" s="18">
        <v>2800</v>
      </c>
      <c r="D9" s="11" t="s">
        <v>149</v>
      </c>
      <c r="E9" s="12">
        <f>C9*0.1387</f>
        <v>388.35999999999996</v>
      </c>
      <c r="F9" s="21">
        <v>73.959999999999994</v>
      </c>
      <c r="G9" s="23">
        <f>E9*F9/1000</f>
        <v>28.723105599999997</v>
      </c>
      <c r="H9" s="11" t="s">
        <v>61</v>
      </c>
      <c r="I9" s="11" t="s">
        <v>153</v>
      </c>
    </row>
    <row r="12" spans="1:9" ht="15" customHeight="1" x14ac:dyDescent="0.2">
      <c r="A12" s="39" t="s">
        <v>154</v>
      </c>
      <c r="E12" s="40">
        <f>E9</f>
        <v>388.35999999999996</v>
      </c>
    </row>
  </sheetData>
  <mergeCells count="3">
    <mergeCell ref="A1:I1"/>
    <mergeCell ref="A2:I2"/>
    <mergeCell ref="A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showGridLines="0" tabSelected="1" topLeftCell="B1" zoomScale="125" zoomScaleNormal="100" workbookViewId="0">
      <selection activeCell="A10" sqref="A10:H10"/>
    </sheetView>
  </sheetViews>
  <sheetFormatPr baseColWidth="10" defaultColWidth="8.6640625" defaultRowHeight="15" x14ac:dyDescent="0.2"/>
  <cols>
    <col min="1" max="1" width="30" customWidth="1"/>
    <col min="2" max="2" width="22" customWidth="1"/>
    <col min="3" max="4" width="16" customWidth="1"/>
    <col min="5" max="6" width="14" customWidth="1"/>
    <col min="7" max="7" width="20" customWidth="1"/>
    <col min="8" max="8" width="32" customWidth="1"/>
  </cols>
  <sheetData>
    <row r="1" spans="1:8" ht="27.75" customHeight="1" x14ac:dyDescent="0.2">
      <c r="A1" s="3" t="s">
        <v>155</v>
      </c>
      <c r="B1" s="3"/>
      <c r="C1" s="3"/>
      <c r="D1" s="3"/>
      <c r="E1" s="3"/>
      <c r="F1" s="3"/>
      <c r="G1" s="3"/>
      <c r="H1" s="3"/>
    </row>
    <row r="2" spans="1:8" ht="48" customHeight="1" x14ac:dyDescent="0.2">
      <c r="A2" s="10" t="s">
        <v>156</v>
      </c>
      <c r="B2" s="10" t="s">
        <v>42</v>
      </c>
      <c r="C2" s="10" t="s">
        <v>135</v>
      </c>
      <c r="D2" s="10" t="s">
        <v>82</v>
      </c>
      <c r="E2" s="10" t="s">
        <v>83</v>
      </c>
      <c r="F2" s="10" t="s">
        <v>84</v>
      </c>
      <c r="G2" s="10" t="s">
        <v>157</v>
      </c>
      <c r="H2" s="10" t="s">
        <v>46</v>
      </c>
    </row>
    <row r="3" spans="1:8" s="81" customFormat="1" ht="31.5" customHeight="1" x14ac:dyDescent="0.2">
      <c r="A3" s="79" t="s">
        <v>185</v>
      </c>
      <c r="B3" s="63" t="s">
        <v>158</v>
      </c>
      <c r="C3" s="65">
        <f>'Natural Gas'!D15+'Propane &amp; Diesel'!E9</f>
        <v>556588.36</v>
      </c>
      <c r="D3" s="65">
        <f>'Natural Gas'!I15+'Propane &amp; Diesel'!G9</f>
        <v>29540.6951056</v>
      </c>
      <c r="E3" s="80">
        <f>'Natural Gas'!J15</f>
        <v>0.55620000000000003</v>
      </c>
      <c r="F3" s="80">
        <f>'Natural Gas'!K15</f>
        <v>5.5620000000000003E-2</v>
      </c>
      <c r="G3" s="65">
        <f>D3+E3*28+F3*265</f>
        <v>29571.008005600001</v>
      </c>
      <c r="H3" s="63"/>
    </row>
    <row r="4" spans="1:8" ht="31.5" customHeight="1" x14ac:dyDescent="0.2">
      <c r="A4" s="15" t="s">
        <v>159</v>
      </c>
      <c r="B4" s="16" t="s">
        <v>160</v>
      </c>
      <c r="C4" s="29">
        <f>'Biomass Boiler'!F15</f>
        <v>109048.6</v>
      </c>
      <c r="D4" s="29">
        <f>'Biomass Boiler'!H15</f>
        <v>5786.1187160000018</v>
      </c>
      <c r="E4" s="29">
        <f>'Biomass Boiler'!F15*0.001/1000</f>
        <v>0.10904860000000001</v>
      </c>
      <c r="F4" s="29">
        <f>'Biomass Boiler'!F15*0.0001/1000</f>
        <v>1.0904860000000001E-2</v>
      </c>
      <c r="G4" s="29">
        <f>D4+E4*28+F4*265</f>
        <v>5792.061864700001</v>
      </c>
      <c r="H4" s="68"/>
    </row>
    <row r="5" spans="1:8" ht="31.5" customHeight="1" x14ac:dyDescent="0.2">
      <c r="A5" s="8" t="s">
        <v>161</v>
      </c>
      <c r="B5" s="11" t="s">
        <v>60</v>
      </c>
      <c r="C5" s="23">
        <f>'Propane &amp; Diesel'!E4</f>
        <v>9807.2000000000007</v>
      </c>
      <c r="D5" s="23">
        <f>'Propane &amp; Diesel'!G4</f>
        <v>617.65745600000002</v>
      </c>
      <c r="E5" s="23">
        <f>'Propane &amp; Diesel'!E4*0.003/1000</f>
        <v>2.9421600000000003E-2</v>
      </c>
      <c r="F5" s="23">
        <f>'Propane &amp; Diesel'!E4*0.0006/1000</f>
        <v>5.8843200000000002E-3</v>
      </c>
      <c r="G5" s="23">
        <f>D5+E5*28+F5*265</f>
        <v>620.04060559999994</v>
      </c>
      <c r="H5" s="50"/>
    </row>
    <row r="6" spans="1:8" ht="31.5" customHeight="1" x14ac:dyDescent="0.2">
      <c r="A6" s="15" t="s">
        <v>162</v>
      </c>
      <c r="B6" s="16" t="s">
        <v>67</v>
      </c>
      <c r="C6" s="16">
        <v>544.5</v>
      </c>
      <c r="D6" s="16">
        <v>5.3506199999999997E-2</v>
      </c>
      <c r="E6" s="16">
        <v>0</v>
      </c>
      <c r="F6" s="16">
        <v>0</v>
      </c>
      <c r="G6" s="16">
        <v>5.3506199999999997E-2</v>
      </c>
      <c r="H6" s="50"/>
    </row>
    <row r="7" spans="1:8" ht="31.5" customHeight="1" x14ac:dyDescent="0.2">
      <c r="A7" s="8" t="s">
        <v>163</v>
      </c>
      <c r="B7" s="11" t="s">
        <v>71</v>
      </c>
      <c r="C7" s="23">
        <v>3423</v>
      </c>
      <c r="D7" s="23">
        <f>C7*102.24/1000</f>
        <v>349.96751999999998</v>
      </c>
      <c r="E7" s="23">
        <f>C7*0.000003</f>
        <v>1.0269E-2</v>
      </c>
      <c r="F7" s="23">
        <f>C7*0.0000006</f>
        <v>2.0537999999999997E-3</v>
      </c>
      <c r="G7" s="23">
        <v>257.07</v>
      </c>
      <c r="H7" s="11"/>
    </row>
    <row r="8" spans="1:8" ht="25.5" customHeight="1" x14ac:dyDescent="0.2">
      <c r="A8" s="3" t="s">
        <v>164</v>
      </c>
      <c r="B8" s="3"/>
      <c r="C8" s="41">
        <f>IFERROR(SUMIF(C3:C7,"&lt;&gt;—",C3:C7),0)</f>
        <v>679411.65999999992</v>
      </c>
      <c r="D8" s="41">
        <f>IFERROR(SUMIF(D3:D7,"&lt;&gt;—",D3:D7),0)</f>
        <v>36294.492303799998</v>
      </c>
      <c r="E8" s="41">
        <f>IFERROR(SUMIF(E3:E7,"&lt;&gt;—",E3:E7),0)</f>
        <v>0.7049392000000001</v>
      </c>
      <c r="F8" s="41">
        <f>IFERROR(SUMIF(F3:F7,"&lt;&gt;—",F3:F7),0)</f>
        <v>7.4462979999999998E-2</v>
      </c>
      <c r="G8" s="41">
        <f>IFERROR(SUMIF(G3:G7,"&lt;&gt;—",G3:G7),0)</f>
        <v>36240.233982099999</v>
      </c>
    </row>
    <row r="9" spans="1:8" ht="19.5" customHeight="1" x14ac:dyDescent="0.2">
      <c r="A9" s="42" t="s">
        <v>165</v>
      </c>
      <c r="B9" s="43" t="s">
        <v>166</v>
      </c>
      <c r="G9" s="44">
        <v>22488</v>
      </c>
    </row>
    <row r="10" spans="1:8" ht="19.5" customHeight="1" x14ac:dyDescent="0.2">
      <c r="A10" s="85"/>
      <c r="B10" s="84"/>
      <c r="C10" s="84"/>
      <c r="D10" s="84"/>
      <c r="E10" s="84"/>
      <c r="F10" s="84"/>
      <c r="G10" s="84"/>
      <c r="H10" s="84"/>
    </row>
    <row r="12" spans="1:8" ht="27.75" customHeight="1" x14ac:dyDescent="0.2">
      <c r="A12" s="2" t="s">
        <v>167</v>
      </c>
      <c r="B12" s="2"/>
      <c r="C12" s="2"/>
      <c r="D12" s="2"/>
      <c r="E12" s="2"/>
      <c r="F12" s="2"/>
      <c r="G12" s="2"/>
      <c r="H12" s="2"/>
    </row>
    <row r="13" spans="1:8" ht="39.75" customHeight="1" x14ac:dyDescent="0.2">
      <c r="A13" s="10" t="s">
        <v>42</v>
      </c>
      <c r="B13" s="10" t="s">
        <v>168</v>
      </c>
      <c r="C13" s="10" t="s">
        <v>169</v>
      </c>
      <c r="D13" s="10" t="s">
        <v>170</v>
      </c>
      <c r="E13" s="10"/>
      <c r="F13" s="10"/>
      <c r="G13" s="10"/>
      <c r="H13" s="10" t="s">
        <v>46</v>
      </c>
    </row>
    <row r="14" spans="1:8" ht="24" customHeight="1" x14ac:dyDescent="0.2">
      <c r="A14" s="82"/>
      <c r="B14" s="83"/>
      <c r="C14" s="83"/>
      <c r="D14" s="83"/>
      <c r="E14" s="83"/>
      <c r="F14" s="83"/>
      <c r="G14" s="83"/>
      <c r="H14" s="62"/>
    </row>
    <row r="16" spans="1:8" ht="18" customHeight="1" x14ac:dyDescent="0.2">
      <c r="A16" s="1" t="s">
        <v>171</v>
      </c>
      <c r="B16" s="1"/>
      <c r="C16" s="1"/>
      <c r="D16" s="1"/>
      <c r="E16" s="1"/>
      <c r="F16" s="1"/>
      <c r="G16" s="1"/>
      <c r="H16" s="1"/>
    </row>
    <row r="17" spans="1:2" ht="18" customHeight="1" x14ac:dyDescent="0.2">
      <c r="A17" s="15" t="s">
        <v>30</v>
      </c>
      <c r="B17" s="15" t="s">
        <v>172</v>
      </c>
    </row>
    <row r="18" spans="1:2" ht="18" customHeight="1" x14ac:dyDescent="0.2">
      <c r="A18" s="15" t="s">
        <v>60</v>
      </c>
      <c r="B18" s="15" t="s">
        <v>173</v>
      </c>
    </row>
    <row r="19" spans="1:2" ht="18" customHeight="1" x14ac:dyDescent="0.2">
      <c r="A19" s="15" t="s">
        <v>174</v>
      </c>
      <c r="B19" s="15" t="s">
        <v>175</v>
      </c>
    </row>
    <row r="20" spans="1:2" ht="18" customHeight="1" x14ac:dyDescent="0.2">
      <c r="A20" s="15" t="s">
        <v>176</v>
      </c>
      <c r="B20" s="15" t="s">
        <v>177</v>
      </c>
    </row>
  </sheetData>
  <mergeCells count="5">
    <mergeCell ref="A1:H1"/>
    <mergeCell ref="A8:B8"/>
    <mergeCell ref="A10:H10"/>
    <mergeCell ref="A12:H12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Equipment Inventory</vt:lpstr>
      <vt:lpstr>Natural Gas</vt:lpstr>
      <vt:lpstr>Biogas</vt:lpstr>
      <vt:lpstr>Biomass Boiler</vt:lpstr>
      <vt:lpstr>Propane &amp; Diesel</vt:lpstr>
      <vt:lpstr>Emissions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Claire Qiu</cp:lastModifiedBy>
  <cp:revision>0</cp:revision>
  <dcterms:created xsi:type="dcterms:W3CDTF">2026-06-11T18:51:13Z</dcterms:created>
  <dcterms:modified xsi:type="dcterms:W3CDTF">2026-06-15T22:26:25Z</dcterms:modified>
  <dc:language>en-US</dc:language>
</cp:coreProperties>
</file>